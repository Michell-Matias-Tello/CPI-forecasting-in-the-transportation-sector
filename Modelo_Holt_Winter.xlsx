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hell\Downloads\IPC\"/>
    </mc:Choice>
  </mc:AlternateContent>
  <xr:revisionPtr revIDLastSave="0" documentId="13_ncr:1_{D9620D1A-9EB2-4170-9E10-897079A39216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Holt-Winters" sheetId="4" r:id="rId1"/>
    <sheet name="Mensuales" sheetId="1" state="hidden" r:id="rId2"/>
    <sheet name="Holt-Winters.1" sheetId="5" state="hidden" r:id="rId3"/>
    <sheet name="File-Web" sheetId="2" r:id="rId4"/>
  </sheets>
  <definedNames>
    <definedName name="solver_adj" localSheetId="0" hidden="1">'Holt-Winters'!$F$3:$H$3</definedName>
    <definedName name="solver_adj" localSheetId="2" hidden="1">'Holt-Winters.1'!$E$3:$G$3</definedName>
    <definedName name="solver_cvg" localSheetId="0" hidden="1">0.0001</definedName>
    <definedName name="solver_cvg" localSheetId="2" hidden="1">0.0001</definedName>
    <definedName name="solver_drv" localSheetId="0" hidden="1">1</definedName>
    <definedName name="solver_drv" localSheetId="2" hidden="1">1</definedName>
    <definedName name="solver_eng" localSheetId="0" hidden="1">1</definedName>
    <definedName name="solver_eng" localSheetId="2" hidden="1">1</definedName>
    <definedName name="solver_est" localSheetId="0" hidden="1">1</definedName>
    <definedName name="solver_est" localSheetId="2" hidden="1">1</definedName>
    <definedName name="solver_itr" localSheetId="0" hidden="1">2147483647</definedName>
    <definedName name="solver_itr" localSheetId="2" hidden="1">2147483647</definedName>
    <definedName name="solver_lhs1" localSheetId="0" hidden="1">'Holt-Winters'!$F$3:$H$3</definedName>
    <definedName name="solver_lhs1" localSheetId="2" hidden="1">'Holt-Winters.1'!$E$3:$G$3</definedName>
    <definedName name="solver_lhs2" localSheetId="0" hidden="1">'Holt-Winters'!$F$3:$H$3</definedName>
    <definedName name="solver_lhs2" localSheetId="2" hidden="1">'Holt-Winters.1'!$E$3:$G$3</definedName>
    <definedName name="solver_mip" localSheetId="0" hidden="1">2147483647</definedName>
    <definedName name="solver_mip" localSheetId="2" hidden="1">2147483647</definedName>
    <definedName name="solver_mni" localSheetId="0" hidden="1">30</definedName>
    <definedName name="solver_mni" localSheetId="2" hidden="1">30</definedName>
    <definedName name="solver_mrt" localSheetId="0" hidden="1">0.075</definedName>
    <definedName name="solver_mrt" localSheetId="2" hidden="1">0.075</definedName>
    <definedName name="solver_msl" localSheetId="0" hidden="1">2</definedName>
    <definedName name="solver_msl" localSheetId="2" hidden="1">2</definedName>
    <definedName name="solver_neg" localSheetId="0" hidden="1">1</definedName>
    <definedName name="solver_neg" localSheetId="2" hidden="1">1</definedName>
    <definedName name="solver_nod" localSheetId="0" hidden="1">2147483647</definedName>
    <definedName name="solver_nod" localSheetId="2" hidden="1">2147483647</definedName>
    <definedName name="solver_num" localSheetId="0" hidden="1">2</definedName>
    <definedName name="solver_num" localSheetId="2" hidden="1">2</definedName>
    <definedName name="solver_nwt" localSheetId="0" hidden="1">1</definedName>
    <definedName name="solver_nwt" localSheetId="2" hidden="1">1</definedName>
    <definedName name="solver_opt" localSheetId="0" hidden="1">'Holt-Winters'!$I$299</definedName>
    <definedName name="solver_opt" localSheetId="2" hidden="1">'Holt-Winters.1'!$H$295</definedName>
    <definedName name="solver_pre" localSheetId="0" hidden="1">0.000001</definedName>
    <definedName name="solver_pre" localSheetId="2" hidden="1">0.000001</definedName>
    <definedName name="solver_rbv" localSheetId="0" hidden="1">1</definedName>
    <definedName name="solver_rbv" localSheetId="2" hidden="1">1</definedName>
    <definedName name="solver_rel1" localSheetId="0" hidden="1">1</definedName>
    <definedName name="solver_rel1" localSheetId="2" hidden="1">1</definedName>
    <definedName name="solver_rel2" localSheetId="0" hidden="1">3</definedName>
    <definedName name="solver_rel2" localSheetId="2" hidden="1">3</definedName>
    <definedName name="solver_rhs1" localSheetId="0" hidden="1">1</definedName>
    <definedName name="solver_rhs1" localSheetId="2" hidden="1">1</definedName>
    <definedName name="solver_rhs2" localSheetId="0" hidden="1">0</definedName>
    <definedName name="solver_rhs2" localSheetId="2" hidden="1">0</definedName>
    <definedName name="solver_rlx" localSheetId="0" hidden="1">2</definedName>
    <definedName name="solver_rlx" localSheetId="2" hidden="1">2</definedName>
    <definedName name="solver_rsd" localSheetId="0" hidden="1">0</definedName>
    <definedName name="solver_rsd" localSheetId="2" hidden="1">0</definedName>
    <definedName name="solver_scl" localSheetId="0" hidden="1">1</definedName>
    <definedName name="solver_scl" localSheetId="2" hidden="1">1</definedName>
    <definedName name="solver_sho" localSheetId="0" hidden="1">2</definedName>
    <definedName name="solver_sho" localSheetId="2" hidden="1">2</definedName>
    <definedName name="solver_ssz" localSheetId="0" hidden="1">100</definedName>
    <definedName name="solver_ssz" localSheetId="2" hidden="1">100</definedName>
    <definedName name="solver_tim" localSheetId="0" hidden="1">2147483647</definedName>
    <definedName name="solver_tim" localSheetId="2" hidden="1">2147483647</definedName>
    <definedName name="solver_tol" localSheetId="0" hidden="1">0.01</definedName>
    <definedName name="solver_tol" localSheetId="2" hidden="1">0.01</definedName>
    <definedName name="solver_typ" localSheetId="0" hidden="1">2</definedName>
    <definedName name="solver_typ" localSheetId="2" hidden="1">2</definedName>
    <definedName name="solver_val" localSheetId="0" hidden="1">0</definedName>
    <definedName name="solver_val" localSheetId="2" hidden="1">0</definedName>
    <definedName name="solver_ver" localSheetId="0" hidden="1">3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9" i="4" l="1"/>
  <c r="F291" i="1"/>
  <c r="F292" i="1"/>
  <c r="F293" i="1"/>
  <c r="F294" i="1"/>
  <c r="F290" i="1"/>
  <c r="C19" i="1"/>
  <c r="E13" i="1" s="1"/>
  <c r="D19" i="5"/>
  <c r="F16" i="5" s="1"/>
  <c r="E18" i="4"/>
  <c r="G12" i="4" s="1"/>
  <c r="J266" i="5"/>
  <c r="I266" i="5"/>
  <c r="H266" i="5"/>
  <c r="J259" i="5"/>
  <c r="I259" i="5"/>
  <c r="H259" i="5"/>
  <c r="J154" i="5"/>
  <c r="I154" i="5"/>
  <c r="H154" i="5"/>
  <c r="J43" i="5"/>
  <c r="I43" i="5"/>
  <c r="H43" i="5"/>
  <c r="J38" i="5"/>
  <c r="I38" i="5"/>
  <c r="H38" i="5"/>
  <c r="J36" i="5"/>
  <c r="I36" i="5"/>
  <c r="H36" i="5"/>
  <c r="J27" i="5"/>
  <c r="I27" i="5"/>
  <c r="H27" i="5"/>
  <c r="J22" i="5"/>
  <c r="I22" i="5"/>
  <c r="H22" i="5"/>
  <c r="D19" i="1" l="1"/>
  <c r="C20" i="1" s="1"/>
  <c r="E20" i="1" s="1"/>
  <c r="E9" i="1"/>
  <c r="E8" i="1"/>
  <c r="E19" i="1"/>
  <c r="E17" i="1"/>
  <c r="E16" i="1"/>
  <c r="E15" i="1"/>
  <c r="E14" i="1"/>
  <c r="E12" i="1"/>
  <c r="E11" i="1"/>
  <c r="E18" i="1"/>
  <c r="E10" i="1"/>
  <c r="G13" i="4"/>
  <c r="G11" i="4"/>
  <c r="G7" i="4"/>
  <c r="G10" i="4"/>
  <c r="G17" i="4"/>
  <c r="G9" i="4"/>
  <c r="G16" i="4"/>
  <c r="G15" i="4"/>
  <c r="G18" i="4"/>
  <c r="G8" i="4"/>
  <c r="G14" i="4"/>
  <c r="F11" i="5"/>
  <c r="F12" i="5"/>
  <c r="F14" i="5"/>
  <c r="F10" i="5"/>
  <c r="F15" i="5"/>
  <c r="F19" i="5"/>
  <c r="F13" i="5"/>
  <c r="F8" i="5"/>
  <c r="F17" i="5"/>
  <c r="E19" i="5"/>
  <c r="G20" i="5" s="1"/>
  <c r="F9" i="5"/>
  <c r="F18" i="5"/>
  <c r="F18" i="4"/>
  <c r="D20" i="1" l="1"/>
  <c r="F21" i="1" s="1"/>
  <c r="G21" i="1" s="1"/>
  <c r="F20" i="1"/>
  <c r="I20" i="1" s="1"/>
  <c r="D20" i="5"/>
  <c r="H19" i="4"/>
  <c r="K19" i="4" s="1"/>
  <c r="J20" i="5"/>
  <c r="I20" i="5"/>
  <c r="H20" i="5"/>
  <c r="E20" i="5"/>
  <c r="G21" i="5" s="1"/>
  <c r="F20" i="5"/>
  <c r="E19" i="4"/>
  <c r="H20" i="1" l="1"/>
  <c r="G20" i="1"/>
  <c r="I21" i="1"/>
  <c r="H21" i="1"/>
  <c r="D21" i="5"/>
  <c r="I19" i="4"/>
  <c r="J19" i="4"/>
  <c r="J21" i="5"/>
  <c r="I21" i="5"/>
  <c r="H21" i="5"/>
  <c r="F21" i="5"/>
  <c r="E21" i="5"/>
  <c r="D22" i="5" s="1"/>
  <c r="G19" i="4"/>
  <c r="F19" i="4"/>
  <c r="E20" i="4" s="1"/>
  <c r="H20" i="4" l="1"/>
  <c r="G20" i="4"/>
  <c r="E22" i="5"/>
  <c r="G23" i="5" s="1"/>
  <c r="F22" i="5"/>
  <c r="D23" i="5"/>
  <c r="F20" i="4"/>
  <c r="E21" i="4" s="1"/>
  <c r="H21" i="4" l="1"/>
  <c r="I21" i="4" s="1"/>
  <c r="K20" i="4"/>
  <c r="I20" i="4"/>
  <c r="J20" i="4"/>
  <c r="I23" i="5"/>
  <c r="J23" i="5"/>
  <c r="H23" i="5"/>
  <c r="F23" i="5"/>
  <c r="E23" i="5"/>
  <c r="G24" i="5" s="1"/>
  <c r="G21" i="4"/>
  <c r="F21" i="4"/>
  <c r="E22" i="4" s="1"/>
  <c r="K21" i="4" l="1"/>
  <c r="J21" i="4"/>
  <c r="H22" i="4"/>
  <c r="J24" i="5"/>
  <c r="H24" i="5"/>
  <c r="I24" i="5"/>
  <c r="D24" i="5"/>
  <c r="G22" i="4"/>
  <c r="F22" i="4"/>
  <c r="E23" i="4" s="1"/>
  <c r="K22" i="4" l="1"/>
  <c r="J22" i="4"/>
  <c r="I22" i="4"/>
  <c r="H23" i="4"/>
  <c r="E24" i="5"/>
  <c r="D25" i="5" s="1"/>
  <c r="F24" i="5"/>
  <c r="F23" i="4"/>
  <c r="H24" i="4" s="1"/>
  <c r="G23" i="4"/>
  <c r="C21" i="1"/>
  <c r="E21" i="1" l="1"/>
  <c r="I24" i="4"/>
  <c r="J24" i="4"/>
  <c r="K24" i="4"/>
  <c r="J23" i="4"/>
  <c r="K23" i="4"/>
  <c r="I23" i="4"/>
  <c r="F25" i="5"/>
  <c r="E25" i="5"/>
  <c r="G26" i="5" s="1"/>
  <c r="G25" i="5"/>
  <c r="E24" i="4"/>
  <c r="D21" i="1"/>
  <c r="C22" i="1" s="1"/>
  <c r="F22" i="1" l="1"/>
  <c r="H26" i="5"/>
  <c r="J26" i="5"/>
  <c r="I26" i="5"/>
  <c r="D26" i="5"/>
  <c r="I25" i="5"/>
  <c r="J25" i="5"/>
  <c r="H25" i="5"/>
  <c r="G24" i="4"/>
  <c r="F24" i="4"/>
  <c r="E25" i="4" s="1"/>
  <c r="E22" i="1"/>
  <c r="D22" i="1"/>
  <c r="C23" i="1" s="1"/>
  <c r="I22" i="1" l="1"/>
  <c r="G22" i="1"/>
  <c r="H22" i="1"/>
  <c r="F23" i="1"/>
  <c r="H25" i="4"/>
  <c r="I25" i="4" s="1"/>
  <c r="G25" i="4"/>
  <c r="F26" i="5"/>
  <c r="E26" i="5"/>
  <c r="D27" i="5"/>
  <c r="F25" i="4"/>
  <c r="E26" i="4" s="1"/>
  <c r="E23" i="1"/>
  <c r="D23" i="1"/>
  <c r="C24" i="1" s="1"/>
  <c r="G23" i="1" l="1"/>
  <c r="I23" i="1"/>
  <c r="H23" i="1"/>
  <c r="F24" i="1"/>
  <c r="K25" i="4"/>
  <c r="H26" i="4"/>
  <c r="K26" i="4" s="1"/>
  <c r="J25" i="4"/>
  <c r="F27" i="5"/>
  <c r="E27" i="5"/>
  <c r="D28" i="5" s="1"/>
  <c r="F26" i="4"/>
  <c r="H27" i="4" s="1"/>
  <c r="G26" i="4"/>
  <c r="D24" i="1"/>
  <c r="C25" i="1" s="1"/>
  <c r="E24" i="1"/>
  <c r="H24" i="1" l="1"/>
  <c r="I24" i="1"/>
  <c r="G24" i="1"/>
  <c r="F25" i="1"/>
  <c r="G28" i="5"/>
  <c r="J28" i="5" s="1"/>
  <c r="J26" i="4"/>
  <c r="I26" i="4"/>
  <c r="J27" i="4"/>
  <c r="K27" i="4"/>
  <c r="I27" i="4"/>
  <c r="E28" i="5"/>
  <c r="D29" i="5" s="1"/>
  <c r="F28" i="5"/>
  <c r="E25" i="1"/>
  <c r="D25" i="1"/>
  <c r="C26" i="1" s="1"/>
  <c r="F26" i="1" l="1"/>
  <c r="G26" i="1" s="1"/>
  <c r="I25" i="1"/>
  <c r="H25" i="1"/>
  <c r="G25" i="1"/>
  <c r="G29" i="5"/>
  <c r="H28" i="5"/>
  <c r="I28" i="5"/>
  <c r="F29" i="5"/>
  <c r="E29" i="5"/>
  <c r="G30" i="5" s="1"/>
  <c r="J29" i="5"/>
  <c r="I29" i="5"/>
  <c r="H29" i="5"/>
  <c r="E26" i="1"/>
  <c r="D26" i="1"/>
  <c r="C27" i="1" s="1"/>
  <c r="H26" i="1" l="1"/>
  <c r="I26" i="1"/>
  <c r="F27" i="1"/>
  <c r="J30" i="5"/>
  <c r="I30" i="5"/>
  <c r="H30" i="5"/>
  <c r="D30" i="5"/>
  <c r="E27" i="1"/>
  <c r="D27" i="1"/>
  <c r="C28" i="1" s="1"/>
  <c r="H27" i="1" l="1"/>
  <c r="I27" i="1"/>
  <c r="G27" i="1"/>
  <c r="F28" i="1"/>
  <c r="E30" i="5"/>
  <c r="D31" i="5" s="1"/>
  <c r="F30" i="5"/>
  <c r="E28" i="1"/>
  <c r="D28" i="1"/>
  <c r="C29" i="1" s="1"/>
  <c r="G28" i="1" l="1"/>
  <c r="I28" i="1"/>
  <c r="H28" i="1"/>
  <c r="F29" i="1"/>
  <c r="F31" i="5"/>
  <c r="E31" i="5"/>
  <c r="G32" i="5" s="1"/>
  <c r="G31" i="5"/>
  <c r="E29" i="1"/>
  <c r="D29" i="1"/>
  <c r="C30" i="1" s="1"/>
  <c r="F30" i="1" l="1"/>
  <c r="G29" i="1"/>
  <c r="H29" i="1"/>
  <c r="I29" i="1"/>
  <c r="D32" i="5"/>
  <c r="I32" i="5"/>
  <c r="J32" i="5"/>
  <c r="H32" i="5"/>
  <c r="F32" i="5"/>
  <c r="E32" i="5"/>
  <c r="G33" i="5" s="1"/>
  <c r="J31" i="5"/>
  <c r="H31" i="5"/>
  <c r="I31" i="5"/>
  <c r="E27" i="4"/>
  <c r="D30" i="1"/>
  <c r="C31" i="1" s="1"/>
  <c r="E30" i="1"/>
  <c r="F31" i="1" l="1"/>
  <c r="I30" i="1"/>
  <c r="H30" i="1"/>
  <c r="G30" i="1"/>
  <c r="D33" i="5"/>
  <c r="E33" i="5" s="1"/>
  <c r="G34" i="5" s="1"/>
  <c r="H33" i="5"/>
  <c r="J33" i="5"/>
  <c r="I33" i="5"/>
  <c r="F27" i="4"/>
  <c r="H28" i="4" s="1"/>
  <c r="G27" i="4"/>
  <c r="D31" i="1"/>
  <c r="C32" i="1" s="1"/>
  <c r="E31" i="1"/>
  <c r="F32" i="1" l="1"/>
  <c r="G31" i="1"/>
  <c r="H31" i="1"/>
  <c r="I31" i="1"/>
  <c r="F33" i="5"/>
  <c r="I28" i="4"/>
  <c r="K28" i="4"/>
  <c r="J28" i="4"/>
  <c r="I34" i="5"/>
  <c r="H34" i="5"/>
  <c r="J34" i="5"/>
  <c r="D34" i="5"/>
  <c r="E28" i="4"/>
  <c r="E32" i="1"/>
  <c r="D32" i="1"/>
  <c r="F33" i="1" s="1"/>
  <c r="I33" i="1" l="1"/>
  <c r="G33" i="1"/>
  <c r="H33" i="1"/>
  <c r="H32" i="1"/>
  <c r="I32" i="1"/>
  <c r="G32" i="1"/>
  <c r="F34" i="5"/>
  <c r="E34" i="5"/>
  <c r="D35" i="5" s="1"/>
  <c r="F28" i="4"/>
  <c r="H29" i="4" s="1"/>
  <c r="G28" i="4"/>
  <c r="C33" i="1"/>
  <c r="K29" i="4" l="1"/>
  <c r="I29" i="4"/>
  <c r="J29" i="4"/>
  <c r="F35" i="5"/>
  <c r="E35" i="5"/>
  <c r="D36" i="5" s="1"/>
  <c r="G35" i="5"/>
  <c r="E29" i="4"/>
  <c r="D33" i="1"/>
  <c r="C34" i="1" s="1"/>
  <c r="E33" i="1"/>
  <c r="F34" i="1" l="1"/>
  <c r="E36" i="5"/>
  <c r="G37" i="5" s="1"/>
  <c r="F36" i="5"/>
  <c r="J35" i="5"/>
  <c r="I35" i="5"/>
  <c r="H35" i="5"/>
  <c r="F29" i="4"/>
  <c r="H30" i="4" s="1"/>
  <c r="G29" i="4"/>
  <c r="D34" i="1"/>
  <c r="C35" i="1" s="1"/>
  <c r="E34" i="1"/>
  <c r="G34" i="1" l="1"/>
  <c r="H34" i="1"/>
  <c r="I34" i="1"/>
  <c r="F35" i="1"/>
  <c r="K30" i="4"/>
  <c r="I30" i="4"/>
  <c r="J30" i="4"/>
  <c r="J37" i="5"/>
  <c r="I37" i="5"/>
  <c r="H37" i="5"/>
  <c r="D37" i="5"/>
  <c r="E30" i="4"/>
  <c r="E35" i="1"/>
  <c r="D35" i="1"/>
  <c r="C36" i="1" s="1"/>
  <c r="F36" i="1" l="1"/>
  <c r="G36" i="1" s="1"/>
  <c r="H35" i="1"/>
  <c r="I35" i="1"/>
  <c r="G35" i="1"/>
  <c r="E37" i="5"/>
  <c r="D38" i="5" s="1"/>
  <c r="F37" i="5"/>
  <c r="G30" i="4"/>
  <c r="F30" i="4"/>
  <c r="H31" i="4" s="1"/>
  <c r="D36" i="1"/>
  <c r="C37" i="1" s="1"/>
  <c r="E36" i="1"/>
  <c r="I36" i="1" l="1"/>
  <c r="H36" i="1"/>
  <c r="F37" i="1"/>
  <c r="J31" i="4"/>
  <c r="K31" i="4"/>
  <c r="I31" i="4"/>
  <c r="F38" i="5"/>
  <c r="E38" i="5"/>
  <c r="G39" i="5" s="1"/>
  <c r="E31" i="4"/>
  <c r="D37" i="1"/>
  <c r="F38" i="1" s="1"/>
  <c r="E37" i="1"/>
  <c r="I38" i="1" l="1"/>
  <c r="G38" i="1"/>
  <c r="H38" i="1"/>
  <c r="G37" i="1"/>
  <c r="H37" i="1"/>
  <c r="I37" i="1"/>
  <c r="H39" i="5"/>
  <c r="J39" i="5"/>
  <c r="I39" i="5"/>
  <c r="D39" i="5"/>
  <c r="F31" i="4"/>
  <c r="E32" i="4" s="1"/>
  <c r="G31" i="4"/>
  <c r="C38" i="1"/>
  <c r="H32" i="4" l="1"/>
  <c r="F39" i="5"/>
  <c r="E39" i="5"/>
  <c r="D40" i="5" s="1"/>
  <c r="F32" i="4"/>
  <c r="H33" i="4" s="1"/>
  <c r="G32" i="4"/>
  <c r="D38" i="1"/>
  <c r="C39" i="1" s="1"/>
  <c r="E38" i="1"/>
  <c r="F39" i="1" l="1"/>
  <c r="I33" i="4"/>
  <c r="K33" i="4"/>
  <c r="J33" i="4"/>
  <c r="I32" i="4"/>
  <c r="J32" i="4"/>
  <c r="K32" i="4"/>
  <c r="F40" i="5"/>
  <c r="E40" i="5"/>
  <c r="G41" i="5" s="1"/>
  <c r="G40" i="5"/>
  <c r="D39" i="1"/>
  <c r="C40" i="1" s="1"/>
  <c r="E39" i="1"/>
  <c r="G39" i="1" l="1"/>
  <c r="I39" i="1"/>
  <c r="H39" i="1"/>
  <c r="F40" i="1"/>
  <c r="J41" i="5"/>
  <c r="I41" i="5"/>
  <c r="H41" i="5"/>
  <c r="D41" i="5"/>
  <c r="I40" i="5"/>
  <c r="H40" i="5"/>
  <c r="J40" i="5"/>
  <c r="E33" i="4"/>
  <c r="D40" i="1"/>
  <c r="C41" i="1" s="1"/>
  <c r="E40" i="1"/>
  <c r="H40" i="1" l="1"/>
  <c r="I40" i="1"/>
  <c r="G40" i="1"/>
  <c r="F41" i="1"/>
  <c r="F41" i="5"/>
  <c r="E41" i="5"/>
  <c r="D42" i="5" s="1"/>
  <c r="F33" i="4"/>
  <c r="E34" i="4" s="1"/>
  <c r="G33" i="4"/>
  <c r="D41" i="1"/>
  <c r="C42" i="1" s="1"/>
  <c r="E41" i="1"/>
  <c r="F42" i="1" l="1"/>
  <c r="I41" i="1"/>
  <c r="H41" i="1"/>
  <c r="G41" i="1"/>
  <c r="H34" i="4"/>
  <c r="E42" i="5"/>
  <c r="D43" i="5" s="1"/>
  <c r="F42" i="5"/>
  <c r="G42" i="5"/>
  <c r="F34" i="4"/>
  <c r="E35" i="4" s="1"/>
  <c r="G34" i="4"/>
  <c r="E42" i="1"/>
  <c r="D42" i="1"/>
  <c r="C43" i="1" s="1"/>
  <c r="G42" i="1" l="1"/>
  <c r="H42" i="1"/>
  <c r="I42" i="1"/>
  <c r="F43" i="1"/>
  <c r="K34" i="4"/>
  <c r="I34" i="4"/>
  <c r="J34" i="4"/>
  <c r="H35" i="4"/>
  <c r="F43" i="5"/>
  <c r="E43" i="5"/>
  <c r="G44" i="5" s="1"/>
  <c r="J42" i="5"/>
  <c r="I42" i="5"/>
  <c r="H42" i="5"/>
  <c r="F35" i="4"/>
  <c r="H36" i="4" s="1"/>
  <c r="G35" i="4"/>
  <c r="E43" i="1"/>
  <c r="D43" i="1"/>
  <c r="C44" i="1" s="1"/>
  <c r="F44" i="1" l="1"/>
  <c r="I44" i="1" s="1"/>
  <c r="H43" i="1"/>
  <c r="I43" i="1"/>
  <c r="G43" i="1"/>
  <c r="I36" i="4"/>
  <c r="J36" i="4"/>
  <c r="K36" i="4"/>
  <c r="J35" i="4"/>
  <c r="K35" i="4"/>
  <c r="I35" i="4"/>
  <c r="J44" i="5"/>
  <c r="H44" i="5"/>
  <c r="I44" i="5"/>
  <c r="D44" i="5"/>
  <c r="E36" i="4"/>
  <c r="E44" i="1"/>
  <c r="D44" i="1"/>
  <c r="C45" i="1" s="1"/>
  <c r="H44" i="1" l="1"/>
  <c r="G44" i="1"/>
  <c r="F45" i="1"/>
  <c r="G36" i="4"/>
  <c r="F44" i="5"/>
  <c r="E44" i="5"/>
  <c r="G45" i="5" s="1"/>
  <c r="F36" i="4"/>
  <c r="E37" i="4" s="1"/>
  <c r="D45" i="1"/>
  <c r="C46" i="1" s="1"/>
  <c r="E45" i="1"/>
  <c r="F46" i="1" l="1"/>
  <c r="G45" i="1"/>
  <c r="H45" i="1"/>
  <c r="I45" i="1"/>
  <c r="D45" i="5"/>
  <c r="E45" i="5" s="1"/>
  <c r="G46" i="5" s="1"/>
  <c r="H37" i="4"/>
  <c r="I45" i="5"/>
  <c r="J45" i="5"/>
  <c r="H45" i="5"/>
  <c r="F37" i="4"/>
  <c r="E38" i="4" s="1"/>
  <c r="G37" i="4"/>
  <c r="E46" i="1"/>
  <c r="D46" i="1"/>
  <c r="C47" i="1" s="1"/>
  <c r="I46" i="1" l="1"/>
  <c r="H46" i="1"/>
  <c r="G46" i="1"/>
  <c r="F47" i="1"/>
  <c r="F45" i="5"/>
  <c r="F38" i="4"/>
  <c r="H39" i="4" s="1"/>
  <c r="H38" i="4"/>
  <c r="K37" i="4"/>
  <c r="I37" i="4"/>
  <c r="J37" i="4"/>
  <c r="H46" i="5"/>
  <c r="J46" i="5"/>
  <c r="I46" i="5"/>
  <c r="D46" i="5"/>
  <c r="G38" i="4"/>
  <c r="E47" i="1"/>
  <c r="D47" i="1"/>
  <c r="C48" i="1" s="1"/>
  <c r="G47" i="1" l="1"/>
  <c r="H47" i="1"/>
  <c r="I47" i="1"/>
  <c r="F48" i="1"/>
  <c r="E39" i="4"/>
  <c r="G39" i="4" s="1"/>
  <c r="K38" i="4"/>
  <c r="I38" i="4"/>
  <c r="J38" i="4"/>
  <c r="J39" i="4"/>
  <c r="K39" i="4"/>
  <c r="I39" i="4"/>
  <c r="F46" i="5"/>
  <c r="E46" i="5"/>
  <c r="G47" i="5" s="1"/>
  <c r="D48" i="1"/>
  <c r="C49" i="1" s="1"/>
  <c r="E48" i="1"/>
  <c r="F49" i="1" l="1"/>
  <c r="H48" i="1"/>
  <c r="I48" i="1"/>
  <c r="G48" i="1"/>
  <c r="D47" i="5"/>
  <c r="F47" i="5" s="1"/>
  <c r="F39" i="4"/>
  <c r="E40" i="4" s="1"/>
  <c r="G40" i="4" s="1"/>
  <c r="I47" i="5"/>
  <c r="H47" i="5"/>
  <c r="J47" i="5"/>
  <c r="E49" i="1"/>
  <c r="D49" i="1"/>
  <c r="C50" i="1" s="1"/>
  <c r="F50" i="1" l="1"/>
  <c r="I49" i="1"/>
  <c r="G49" i="1"/>
  <c r="H49" i="1"/>
  <c r="E47" i="5"/>
  <c r="D48" i="5" s="1"/>
  <c r="F40" i="4"/>
  <c r="E41" i="4" s="1"/>
  <c r="G41" i="4" s="1"/>
  <c r="H40" i="4"/>
  <c r="I40" i="4" s="1"/>
  <c r="G48" i="5"/>
  <c r="E50" i="1"/>
  <c r="D50" i="1"/>
  <c r="C51" i="1" s="1"/>
  <c r="G50" i="1" l="1"/>
  <c r="H50" i="1"/>
  <c r="I50" i="1"/>
  <c r="F51" i="1"/>
  <c r="E48" i="5"/>
  <c r="G49" i="5" s="1"/>
  <c r="D49" i="5"/>
  <c r="E49" i="5" s="1"/>
  <c r="D50" i="5" s="1"/>
  <c r="F48" i="5"/>
  <c r="K40" i="4"/>
  <c r="J40" i="4"/>
  <c r="H41" i="4"/>
  <c r="K41" i="4" s="1"/>
  <c r="F41" i="4"/>
  <c r="H42" i="4" s="1"/>
  <c r="I42" i="4" s="1"/>
  <c r="J48" i="5"/>
  <c r="I48" i="5"/>
  <c r="H48" i="5"/>
  <c r="E51" i="1"/>
  <c r="D51" i="1"/>
  <c r="C52" i="1" s="1"/>
  <c r="H51" i="1" l="1"/>
  <c r="I51" i="1"/>
  <c r="G51" i="1"/>
  <c r="F52" i="1"/>
  <c r="J49" i="5"/>
  <c r="I49" i="5"/>
  <c r="H49" i="5"/>
  <c r="F49" i="5"/>
  <c r="E42" i="4"/>
  <c r="G42" i="4" s="1"/>
  <c r="J42" i="4"/>
  <c r="K42" i="4"/>
  <c r="J41" i="4"/>
  <c r="I41" i="4"/>
  <c r="F50" i="5"/>
  <c r="E50" i="5"/>
  <c r="G51" i="5" s="1"/>
  <c r="G50" i="5"/>
  <c r="E52" i="1"/>
  <c r="D52" i="1"/>
  <c r="C53" i="1" s="1"/>
  <c r="F53" i="1" l="1"/>
  <c r="H53" i="1" s="1"/>
  <c r="G52" i="1"/>
  <c r="H52" i="1"/>
  <c r="I52" i="1"/>
  <c r="F54" i="1"/>
  <c r="D51" i="5"/>
  <c r="F51" i="5" s="1"/>
  <c r="F42" i="4"/>
  <c r="H43" i="4" s="1"/>
  <c r="J43" i="4" s="1"/>
  <c r="J51" i="5"/>
  <c r="I51" i="5"/>
  <c r="H51" i="5"/>
  <c r="J50" i="5"/>
  <c r="I50" i="5"/>
  <c r="H50" i="5"/>
  <c r="E53" i="1"/>
  <c r="D53" i="1"/>
  <c r="C54" i="1" s="1"/>
  <c r="I53" i="1" l="1"/>
  <c r="G53" i="1"/>
  <c r="I54" i="1"/>
  <c r="G54" i="1"/>
  <c r="H54" i="1"/>
  <c r="E51" i="5"/>
  <c r="G52" i="5" s="1"/>
  <c r="J52" i="5" s="1"/>
  <c r="K43" i="4"/>
  <c r="E43" i="4"/>
  <c r="G43" i="4" s="1"/>
  <c r="I43" i="4"/>
  <c r="D52" i="5"/>
  <c r="D54" i="1"/>
  <c r="C55" i="1" s="1"/>
  <c r="E54" i="1"/>
  <c r="F55" i="1" l="1"/>
  <c r="I52" i="5"/>
  <c r="H52" i="5"/>
  <c r="F43" i="4"/>
  <c r="E44" i="4" s="1"/>
  <c r="G44" i="4" s="1"/>
  <c r="F52" i="5"/>
  <c r="E52" i="5"/>
  <c r="G53" i="5" s="1"/>
  <c r="D55" i="1"/>
  <c r="C56" i="1" s="1"/>
  <c r="E55" i="1"/>
  <c r="G55" i="1" l="1"/>
  <c r="I55" i="1"/>
  <c r="H55" i="1"/>
  <c r="F56" i="1"/>
  <c r="H44" i="4"/>
  <c r="J44" i="4" s="1"/>
  <c r="F44" i="4"/>
  <c r="E45" i="4" s="1"/>
  <c r="F45" i="4" s="1"/>
  <c r="H46" i="4" s="1"/>
  <c r="I53" i="5"/>
  <c r="J53" i="5"/>
  <c r="H53" i="5"/>
  <c r="D53" i="5"/>
  <c r="D56" i="1"/>
  <c r="C57" i="1" s="1"/>
  <c r="E56" i="1"/>
  <c r="H56" i="1" l="1"/>
  <c r="I56" i="1"/>
  <c r="G56" i="1"/>
  <c r="F57" i="1"/>
  <c r="K44" i="4"/>
  <c r="I44" i="4"/>
  <c r="G45" i="4"/>
  <c r="H45" i="4"/>
  <c r="K45" i="4" s="1"/>
  <c r="K46" i="4"/>
  <c r="I46" i="4"/>
  <c r="J46" i="4"/>
  <c r="F53" i="5"/>
  <c r="E53" i="5"/>
  <c r="G54" i="5" s="1"/>
  <c r="E46" i="4"/>
  <c r="E57" i="1"/>
  <c r="D57" i="1"/>
  <c r="C58" i="1" s="1"/>
  <c r="F58" i="1" l="1"/>
  <c r="G58" i="1" s="1"/>
  <c r="I57" i="1"/>
  <c r="H57" i="1"/>
  <c r="G57" i="1"/>
  <c r="I45" i="4"/>
  <c r="J45" i="4"/>
  <c r="H54" i="5"/>
  <c r="J54" i="5"/>
  <c r="I54" i="5"/>
  <c r="D54" i="5"/>
  <c r="F46" i="4"/>
  <c r="H47" i="4" s="1"/>
  <c r="G46" i="4"/>
  <c r="E58" i="1"/>
  <c r="D58" i="1"/>
  <c r="C59" i="1" s="1"/>
  <c r="H58" i="1" l="1"/>
  <c r="F59" i="1"/>
  <c r="I59" i="1" s="1"/>
  <c r="I58" i="1"/>
  <c r="G59" i="1"/>
  <c r="J47" i="4"/>
  <c r="K47" i="4"/>
  <c r="I47" i="4"/>
  <c r="F54" i="5"/>
  <c r="E54" i="5"/>
  <c r="G55" i="5" s="1"/>
  <c r="D55" i="5"/>
  <c r="E47" i="4"/>
  <c r="E59" i="1"/>
  <c r="D59" i="1"/>
  <c r="C60" i="1" s="1"/>
  <c r="H59" i="1" l="1"/>
  <c r="F60" i="1"/>
  <c r="I55" i="5"/>
  <c r="H55" i="5"/>
  <c r="J55" i="5"/>
  <c r="F55" i="5"/>
  <c r="E55" i="5"/>
  <c r="G56" i="5" s="1"/>
  <c r="F47" i="4"/>
  <c r="H48" i="4" s="1"/>
  <c r="G47" i="4"/>
  <c r="D60" i="1"/>
  <c r="C61" i="1" s="1"/>
  <c r="E60" i="1"/>
  <c r="F61" i="1" l="1"/>
  <c r="G60" i="1"/>
  <c r="I60" i="1"/>
  <c r="H60" i="1"/>
  <c r="I48" i="4"/>
  <c r="J48" i="4"/>
  <c r="K48" i="4"/>
  <c r="J56" i="5"/>
  <c r="I56" i="5"/>
  <c r="H56" i="5"/>
  <c r="D56" i="5"/>
  <c r="E48" i="4"/>
  <c r="D61" i="1"/>
  <c r="C62" i="1" s="1"/>
  <c r="E61" i="1"/>
  <c r="F62" i="1" l="1"/>
  <c r="G61" i="1"/>
  <c r="H61" i="1"/>
  <c r="I61" i="1"/>
  <c r="F56" i="5"/>
  <c r="E56" i="5"/>
  <c r="G57" i="5" s="1"/>
  <c r="D57" i="5"/>
  <c r="F48" i="4"/>
  <c r="E49" i="4" s="1"/>
  <c r="G48" i="4"/>
  <c r="E62" i="1"/>
  <c r="D62" i="1"/>
  <c r="C63" i="1" s="1"/>
  <c r="I62" i="1" l="1"/>
  <c r="H62" i="1"/>
  <c r="G62" i="1"/>
  <c r="F63" i="1"/>
  <c r="H49" i="4"/>
  <c r="J57" i="5"/>
  <c r="I57" i="5"/>
  <c r="H57" i="5"/>
  <c r="E57" i="5"/>
  <c r="G58" i="5" s="1"/>
  <c r="F57" i="5"/>
  <c r="D58" i="5"/>
  <c r="F49" i="4"/>
  <c r="H50" i="4" s="1"/>
  <c r="G49" i="4"/>
  <c r="D63" i="1"/>
  <c r="C64" i="1" s="1"/>
  <c r="E63" i="1"/>
  <c r="G63" i="1" l="1"/>
  <c r="H63" i="1"/>
  <c r="I63" i="1"/>
  <c r="F64" i="1"/>
  <c r="K50" i="4"/>
  <c r="I50" i="4"/>
  <c r="J50" i="4"/>
  <c r="I49" i="4"/>
  <c r="K49" i="4"/>
  <c r="J49" i="4"/>
  <c r="J58" i="5"/>
  <c r="I58" i="5"/>
  <c r="H58" i="5"/>
  <c r="F58" i="5"/>
  <c r="E58" i="5"/>
  <c r="D59" i="5" s="1"/>
  <c r="E50" i="4"/>
  <c r="D64" i="1"/>
  <c r="C65" i="1" s="1"/>
  <c r="E64" i="1"/>
  <c r="H64" i="1" l="1"/>
  <c r="I64" i="1"/>
  <c r="G64" i="1"/>
  <c r="F65" i="1"/>
  <c r="E59" i="5"/>
  <c r="G60" i="5" s="1"/>
  <c r="F59" i="5"/>
  <c r="G59" i="5"/>
  <c r="F50" i="4"/>
  <c r="H51" i="4" s="1"/>
  <c r="G50" i="4"/>
  <c r="D65" i="1"/>
  <c r="C66" i="1" s="1"/>
  <c r="E65" i="1"/>
  <c r="I65" i="1" l="1"/>
  <c r="G65" i="1"/>
  <c r="H65" i="1"/>
  <c r="F66" i="1"/>
  <c r="D60" i="5"/>
  <c r="J51" i="4"/>
  <c r="K51" i="4"/>
  <c r="I51" i="4"/>
  <c r="J60" i="5"/>
  <c r="H60" i="5"/>
  <c r="I60" i="5"/>
  <c r="F60" i="5"/>
  <c r="E60" i="5"/>
  <c r="G61" i="5" s="1"/>
  <c r="J59" i="5"/>
  <c r="I59" i="5"/>
  <c r="H59" i="5"/>
  <c r="E51" i="4"/>
  <c r="E66" i="1"/>
  <c r="D66" i="1"/>
  <c r="C67" i="1" s="1"/>
  <c r="G66" i="1" l="1"/>
  <c r="H66" i="1"/>
  <c r="I66" i="1"/>
  <c r="F67" i="1"/>
  <c r="I61" i="5"/>
  <c r="J61" i="5"/>
  <c r="H61" i="5"/>
  <c r="D61" i="5"/>
  <c r="F51" i="4"/>
  <c r="H52" i="4" s="1"/>
  <c r="G51" i="4"/>
  <c r="E67" i="1"/>
  <c r="D67" i="1"/>
  <c r="C68" i="1" s="1"/>
  <c r="H67" i="1" l="1"/>
  <c r="I67" i="1"/>
  <c r="G67" i="1"/>
  <c r="F68" i="1"/>
  <c r="I52" i="4"/>
  <c r="K52" i="4"/>
  <c r="J52" i="4"/>
  <c r="F61" i="5"/>
  <c r="E61" i="5"/>
  <c r="G62" i="5" s="1"/>
  <c r="E52" i="4"/>
  <c r="D68" i="1"/>
  <c r="C69" i="1" s="1"/>
  <c r="E68" i="1"/>
  <c r="G68" i="1" l="1"/>
  <c r="H68" i="1"/>
  <c r="I68" i="1"/>
  <c r="F69" i="1"/>
  <c r="H62" i="5"/>
  <c r="J62" i="5"/>
  <c r="I62" i="5"/>
  <c r="D62" i="5"/>
  <c r="F52" i="4"/>
  <c r="H53" i="4" s="1"/>
  <c r="G52" i="4"/>
  <c r="D69" i="1"/>
  <c r="C70" i="1" s="1"/>
  <c r="E69" i="1"/>
  <c r="G69" i="1" l="1"/>
  <c r="H69" i="1"/>
  <c r="I69" i="1"/>
  <c r="F70" i="1"/>
  <c r="K53" i="4"/>
  <c r="I53" i="4"/>
  <c r="J53" i="4"/>
  <c r="F62" i="5"/>
  <c r="E62" i="5"/>
  <c r="G63" i="5" s="1"/>
  <c r="E53" i="4"/>
  <c r="D70" i="1"/>
  <c r="C71" i="1" s="1"/>
  <c r="E70" i="1"/>
  <c r="I70" i="1" l="1"/>
  <c r="G70" i="1"/>
  <c r="H70" i="1"/>
  <c r="F71" i="1"/>
  <c r="I63" i="5"/>
  <c r="H63" i="5"/>
  <c r="J63" i="5"/>
  <c r="D63" i="5"/>
  <c r="F53" i="4"/>
  <c r="E54" i="4" s="1"/>
  <c r="G53" i="4"/>
  <c r="E71" i="1"/>
  <c r="D71" i="1"/>
  <c r="C72" i="1" s="1"/>
  <c r="G71" i="1" l="1"/>
  <c r="I71" i="1"/>
  <c r="H71" i="1"/>
  <c r="F72" i="1"/>
  <c r="H54" i="4"/>
  <c r="I54" i="4" s="1"/>
  <c r="F63" i="5"/>
  <c r="E63" i="5"/>
  <c r="G64" i="5" s="1"/>
  <c r="D64" i="5"/>
  <c r="F54" i="4"/>
  <c r="H55" i="4" s="1"/>
  <c r="G54" i="4"/>
  <c r="D72" i="1"/>
  <c r="C73" i="1" s="1"/>
  <c r="E72" i="1"/>
  <c r="H72" i="1" l="1"/>
  <c r="I72" i="1"/>
  <c r="G72" i="1"/>
  <c r="F73" i="1"/>
  <c r="K54" i="4"/>
  <c r="J54" i="4"/>
  <c r="J55" i="4"/>
  <c r="K55" i="4"/>
  <c r="I55" i="4"/>
  <c r="J64" i="5"/>
  <c r="I64" i="5"/>
  <c r="H64" i="5"/>
  <c r="F64" i="5"/>
  <c r="E64" i="5"/>
  <c r="D65" i="5" s="1"/>
  <c r="E55" i="4"/>
  <c r="D73" i="1"/>
  <c r="C74" i="1" s="1"/>
  <c r="E73" i="1"/>
  <c r="I73" i="1" l="1"/>
  <c r="H73" i="1"/>
  <c r="G73" i="1"/>
  <c r="F74" i="1"/>
  <c r="E65" i="5"/>
  <c r="G66" i="5" s="1"/>
  <c r="F65" i="5"/>
  <c r="G65" i="5"/>
  <c r="F55" i="4"/>
  <c r="H56" i="4" s="1"/>
  <c r="G55" i="4"/>
  <c r="E74" i="1"/>
  <c r="D74" i="1"/>
  <c r="C75" i="1" s="1"/>
  <c r="G74" i="1" l="1"/>
  <c r="H74" i="1"/>
  <c r="I74" i="1"/>
  <c r="F75" i="1"/>
  <c r="I56" i="4"/>
  <c r="J56" i="4"/>
  <c r="K56" i="4"/>
  <c r="J66" i="5"/>
  <c r="I66" i="5"/>
  <c r="H66" i="5"/>
  <c r="J65" i="5"/>
  <c r="I65" i="5"/>
  <c r="H65" i="5"/>
  <c r="D66" i="5"/>
  <c r="E56" i="4"/>
  <c r="D75" i="1"/>
  <c r="C76" i="1" s="1"/>
  <c r="E75" i="1"/>
  <c r="F76" i="1" l="1"/>
  <c r="G76" i="1" s="1"/>
  <c r="H75" i="1"/>
  <c r="I75" i="1"/>
  <c r="G75" i="1"/>
  <c r="G67" i="5"/>
  <c r="F66" i="5"/>
  <c r="E66" i="5"/>
  <c r="D67" i="5"/>
  <c r="F56" i="4"/>
  <c r="E57" i="4" s="1"/>
  <c r="G56" i="4"/>
  <c r="D76" i="1"/>
  <c r="C77" i="1" s="1"/>
  <c r="E76" i="1"/>
  <c r="H76" i="1" l="1"/>
  <c r="I76" i="1"/>
  <c r="F77" i="1"/>
  <c r="H57" i="4"/>
  <c r="J67" i="5"/>
  <c r="I67" i="5"/>
  <c r="H67" i="5"/>
  <c r="E67" i="5"/>
  <c r="G68" i="5" s="1"/>
  <c r="F67" i="5"/>
  <c r="D68" i="5"/>
  <c r="F57" i="4"/>
  <c r="H58" i="4" s="1"/>
  <c r="G57" i="4"/>
  <c r="D77" i="1"/>
  <c r="C78" i="1" s="1"/>
  <c r="E77" i="1"/>
  <c r="F78" i="1" l="1"/>
  <c r="G77" i="1"/>
  <c r="H77" i="1"/>
  <c r="I77" i="1"/>
  <c r="K58" i="4"/>
  <c r="I58" i="4"/>
  <c r="J58" i="4"/>
  <c r="I57" i="4"/>
  <c r="K57" i="4"/>
  <c r="J57" i="4"/>
  <c r="J68" i="5"/>
  <c r="H68" i="5"/>
  <c r="I68" i="5"/>
  <c r="F68" i="5"/>
  <c r="E68" i="5"/>
  <c r="G69" i="5" s="1"/>
  <c r="E58" i="4"/>
  <c r="D78" i="1"/>
  <c r="C79" i="1" s="1"/>
  <c r="E78" i="1"/>
  <c r="F79" i="1" l="1"/>
  <c r="I78" i="1"/>
  <c r="H78" i="1"/>
  <c r="G78" i="1"/>
  <c r="I69" i="5"/>
  <c r="J69" i="5"/>
  <c r="H69" i="5"/>
  <c r="D69" i="5"/>
  <c r="F58" i="4"/>
  <c r="E59" i="4" s="1"/>
  <c r="G58" i="4"/>
  <c r="E79" i="1"/>
  <c r="D79" i="1"/>
  <c r="C80" i="1" s="1"/>
  <c r="F80" i="1" l="1"/>
  <c r="G79" i="1"/>
  <c r="H79" i="1"/>
  <c r="I79" i="1"/>
  <c r="H59" i="4"/>
  <c r="J59" i="4" s="1"/>
  <c r="F69" i="5"/>
  <c r="E69" i="5"/>
  <c r="D70" i="5" s="1"/>
  <c r="F59" i="4"/>
  <c r="H60" i="4" s="1"/>
  <c r="G59" i="4"/>
  <c r="D80" i="1"/>
  <c r="C81" i="1" s="1"/>
  <c r="E80" i="1"/>
  <c r="F81" i="1" l="1"/>
  <c r="H80" i="1"/>
  <c r="I80" i="1"/>
  <c r="G80" i="1"/>
  <c r="G70" i="5"/>
  <c r="K59" i="4"/>
  <c r="I59" i="4"/>
  <c r="I60" i="4"/>
  <c r="K60" i="4"/>
  <c r="J60" i="4"/>
  <c r="G71" i="5"/>
  <c r="F70" i="5"/>
  <c r="E70" i="5"/>
  <c r="D71" i="5"/>
  <c r="H70" i="5"/>
  <c r="J70" i="5"/>
  <c r="I70" i="5"/>
  <c r="E60" i="4"/>
  <c r="E81" i="1"/>
  <c r="D81" i="1"/>
  <c r="C82" i="1" s="1"/>
  <c r="I81" i="1" l="1"/>
  <c r="G81" i="1"/>
  <c r="H81" i="1"/>
  <c r="F82" i="1"/>
  <c r="F71" i="5"/>
  <c r="E71" i="5"/>
  <c r="G72" i="5" s="1"/>
  <c r="D72" i="5"/>
  <c r="I71" i="5"/>
  <c r="H71" i="5"/>
  <c r="J71" i="5"/>
  <c r="G60" i="4"/>
  <c r="F60" i="4"/>
  <c r="E61" i="4" s="1"/>
  <c r="E82" i="1"/>
  <c r="D82" i="1"/>
  <c r="C83" i="1" s="1"/>
  <c r="F83" i="1" l="1"/>
  <c r="G82" i="1"/>
  <c r="H82" i="1"/>
  <c r="I82" i="1"/>
  <c r="H61" i="4"/>
  <c r="J72" i="5"/>
  <c r="I72" i="5"/>
  <c r="H72" i="5"/>
  <c r="F72" i="5"/>
  <c r="E72" i="5"/>
  <c r="G73" i="5" s="1"/>
  <c r="F61" i="4"/>
  <c r="E62" i="4" s="1"/>
  <c r="G61" i="4"/>
  <c r="D83" i="1"/>
  <c r="C84" i="1" s="1"/>
  <c r="E83" i="1"/>
  <c r="H83" i="1" l="1"/>
  <c r="I83" i="1"/>
  <c r="G83" i="1"/>
  <c r="F84" i="1"/>
  <c r="D73" i="5"/>
  <c r="F73" i="5" s="1"/>
  <c r="H62" i="4"/>
  <c r="K61" i="4"/>
  <c r="J61" i="4"/>
  <c r="I61" i="4"/>
  <c r="J73" i="5"/>
  <c r="I73" i="5"/>
  <c r="H73" i="5"/>
  <c r="F62" i="4"/>
  <c r="H63" i="4" s="1"/>
  <c r="G62" i="4"/>
  <c r="D84" i="1"/>
  <c r="C85" i="1" s="1"/>
  <c r="E84" i="1"/>
  <c r="G84" i="1" l="1"/>
  <c r="H84" i="1"/>
  <c r="I84" i="1"/>
  <c r="F85" i="1"/>
  <c r="E73" i="5"/>
  <c r="D74" i="5" s="1"/>
  <c r="J63" i="4"/>
  <c r="K63" i="4"/>
  <c r="I63" i="4"/>
  <c r="K62" i="4"/>
  <c r="I62" i="4"/>
  <c r="J62" i="4"/>
  <c r="D85" i="1"/>
  <c r="C86" i="1" s="1"/>
  <c r="E85" i="1"/>
  <c r="G85" i="1" l="1"/>
  <c r="H85" i="1"/>
  <c r="I85" i="1"/>
  <c r="F86" i="1"/>
  <c r="F74" i="5"/>
  <c r="E74" i="5"/>
  <c r="G75" i="5" s="1"/>
  <c r="G74" i="5"/>
  <c r="J75" i="5"/>
  <c r="I75" i="5"/>
  <c r="H75" i="5"/>
  <c r="D75" i="5"/>
  <c r="E63" i="4"/>
  <c r="D86" i="1"/>
  <c r="C87" i="1" s="1"/>
  <c r="E86" i="1"/>
  <c r="I86" i="1" l="1"/>
  <c r="G86" i="1"/>
  <c r="H86" i="1"/>
  <c r="F87" i="1"/>
  <c r="I74" i="5"/>
  <c r="H74" i="5"/>
  <c r="J74" i="5"/>
  <c r="E75" i="5"/>
  <c r="G76" i="5" s="1"/>
  <c r="F75" i="5"/>
  <c r="F63" i="4"/>
  <c r="E64" i="4" s="1"/>
  <c r="G63" i="4"/>
  <c r="D87" i="1"/>
  <c r="C88" i="1" s="1"/>
  <c r="E87" i="1"/>
  <c r="G87" i="1" l="1"/>
  <c r="I87" i="1"/>
  <c r="H87" i="1"/>
  <c r="F88" i="1"/>
  <c r="D76" i="5"/>
  <c r="G77" i="5" s="1"/>
  <c r="H64" i="4"/>
  <c r="F76" i="5"/>
  <c r="E76" i="5"/>
  <c r="D77" i="5" s="1"/>
  <c r="J76" i="5"/>
  <c r="H76" i="5"/>
  <c r="I76" i="5"/>
  <c r="F64" i="4"/>
  <c r="H65" i="4" s="1"/>
  <c r="G64" i="4"/>
  <c r="D88" i="1"/>
  <c r="C89" i="1" s="1"/>
  <c r="E88" i="1"/>
  <c r="H88" i="1" l="1"/>
  <c r="I88" i="1"/>
  <c r="G88" i="1"/>
  <c r="F89" i="1"/>
  <c r="I65" i="4"/>
  <c r="K65" i="4"/>
  <c r="J65" i="4"/>
  <c r="I64" i="4"/>
  <c r="J64" i="4"/>
  <c r="K64" i="4"/>
  <c r="G78" i="5"/>
  <c r="F77" i="5"/>
  <c r="E77" i="5"/>
  <c r="D78" i="5" s="1"/>
  <c r="I77" i="5"/>
  <c r="J77" i="5"/>
  <c r="H77" i="5"/>
  <c r="E65" i="4"/>
  <c r="D89" i="1"/>
  <c r="C90" i="1" s="1"/>
  <c r="E89" i="1"/>
  <c r="I89" i="1" l="1"/>
  <c r="H89" i="1"/>
  <c r="G89" i="1"/>
  <c r="F90" i="1"/>
  <c r="F78" i="5"/>
  <c r="E78" i="5"/>
  <c r="G79" i="5" s="1"/>
  <c r="D79" i="5"/>
  <c r="H78" i="5"/>
  <c r="J78" i="5"/>
  <c r="I78" i="5"/>
  <c r="F65" i="4"/>
  <c r="H66" i="4" s="1"/>
  <c r="G65" i="4"/>
  <c r="E90" i="1"/>
  <c r="D90" i="1"/>
  <c r="C91" i="1" s="1"/>
  <c r="F91" i="1" l="1"/>
  <c r="G90" i="1"/>
  <c r="H90" i="1"/>
  <c r="I90" i="1"/>
  <c r="K66" i="4"/>
  <c r="I66" i="4"/>
  <c r="J66" i="4"/>
  <c r="F79" i="5"/>
  <c r="E79" i="5"/>
  <c r="G80" i="5" s="1"/>
  <c r="D80" i="5"/>
  <c r="I79" i="5"/>
  <c r="H79" i="5"/>
  <c r="J79" i="5"/>
  <c r="E91" i="1"/>
  <c r="D91" i="1"/>
  <c r="C92" i="1" s="1"/>
  <c r="H91" i="1" l="1"/>
  <c r="I91" i="1"/>
  <c r="G91" i="1"/>
  <c r="F92" i="1"/>
  <c r="J80" i="5"/>
  <c r="I80" i="5"/>
  <c r="H80" i="5"/>
  <c r="F80" i="5"/>
  <c r="E80" i="5"/>
  <c r="G81" i="5" s="1"/>
  <c r="E66" i="4"/>
  <c r="E92" i="1"/>
  <c r="D92" i="1"/>
  <c r="C93" i="1" s="1"/>
  <c r="I92" i="1" l="1"/>
  <c r="H92" i="1"/>
  <c r="G92" i="1"/>
  <c r="F93" i="1"/>
  <c r="J81" i="5"/>
  <c r="I81" i="5"/>
  <c r="H81" i="5"/>
  <c r="D81" i="5"/>
  <c r="F66" i="4"/>
  <c r="H67" i="4" s="1"/>
  <c r="G66" i="4"/>
  <c r="D93" i="1"/>
  <c r="C94" i="1" s="1"/>
  <c r="E93" i="1"/>
  <c r="H93" i="1" l="1"/>
  <c r="G93" i="1"/>
  <c r="I93" i="1"/>
  <c r="F94" i="1"/>
  <c r="J67" i="4"/>
  <c r="I67" i="4"/>
  <c r="K67" i="4"/>
  <c r="E81" i="5"/>
  <c r="D82" i="5" s="1"/>
  <c r="F81" i="5"/>
  <c r="E67" i="4"/>
  <c r="E94" i="1"/>
  <c r="D94" i="1"/>
  <c r="C95" i="1" s="1"/>
  <c r="I94" i="1" l="1"/>
  <c r="H94" i="1"/>
  <c r="G94" i="1"/>
  <c r="F95" i="1"/>
  <c r="G82" i="5"/>
  <c r="F82" i="5"/>
  <c r="E82" i="5"/>
  <c r="G83" i="5" s="1"/>
  <c r="J82" i="5"/>
  <c r="I82" i="5"/>
  <c r="H82" i="5"/>
  <c r="F67" i="4"/>
  <c r="H68" i="4" s="1"/>
  <c r="G67" i="4"/>
  <c r="D95" i="1"/>
  <c r="C96" i="1" s="1"/>
  <c r="E95" i="1"/>
  <c r="F96" i="1" l="1"/>
  <c r="G95" i="1"/>
  <c r="H95" i="1"/>
  <c r="I95" i="1"/>
  <c r="D83" i="5"/>
  <c r="I68" i="4"/>
  <c r="J68" i="4"/>
  <c r="K68" i="4"/>
  <c r="J83" i="5"/>
  <c r="I83" i="5"/>
  <c r="H83" i="5"/>
  <c r="E83" i="5"/>
  <c r="G84" i="5" s="1"/>
  <c r="F83" i="5"/>
  <c r="E68" i="4"/>
  <c r="E96" i="1"/>
  <c r="D96" i="1"/>
  <c r="C97" i="1" s="1"/>
  <c r="H96" i="1" l="1"/>
  <c r="I96" i="1"/>
  <c r="G96" i="1"/>
  <c r="F97" i="1"/>
  <c r="J84" i="5"/>
  <c r="H84" i="5"/>
  <c r="I84" i="5"/>
  <c r="D84" i="5"/>
  <c r="F68" i="4"/>
  <c r="E69" i="4" s="1"/>
  <c r="G68" i="4"/>
  <c r="E97" i="1"/>
  <c r="D97" i="1"/>
  <c r="C98" i="1" s="1"/>
  <c r="F98" i="1" l="1"/>
  <c r="I97" i="1"/>
  <c r="G97" i="1"/>
  <c r="H97" i="1"/>
  <c r="G69" i="4"/>
  <c r="H69" i="4"/>
  <c r="F84" i="5"/>
  <c r="E84" i="5"/>
  <c r="D85" i="5" s="1"/>
  <c r="F69" i="4"/>
  <c r="H70" i="4" s="1"/>
  <c r="E98" i="1"/>
  <c r="D98" i="1"/>
  <c r="C99" i="1" s="1"/>
  <c r="G98" i="1" l="1"/>
  <c r="H98" i="1"/>
  <c r="I98" i="1"/>
  <c r="F99" i="1"/>
  <c r="K70" i="4"/>
  <c r="J70" i="4"/>
  <c r="I70" i="4"/>
  <c r="K69" i="4"/>
  <c r="I69" i="4"/>
  <c r="J69" i="4"/>
  <c r="F85" i="5"/>
  <c r="E85" i="5"/>
  <c r="G86" i="5" s="1"/>
  <c r="G85" i="5"/>
  <c r="E70" i="4"/>
  <c r="E99" i="1"/>
  <c r="D99" i="1"/>
  <c r="C100" i="1" s="1"/>
  <c r="F100" i="1" l="1"/>
  <c r="H100" i="1" s="1"/>
  <c r="H99" i="1"/>
  <c r="I99" i="1"/>
  <c r="G99" i="1"/>
  <c r="D86" i="5"/>
  <c r="F70" i="4"/>
  <c r="H71" i="4" s="1"/>
  <c r="G70" i="4"/>
  <c r="H86" i="5"/>
  <c r="J86" i="5"/>
  <c r="I86" i="5"/>
  <c r="F86" i="5"/>
  <c r="E86" i="5"/>
  <c r="G87" i="5" s="1"/>
  <c r="I85" i="5"/>
  <c r="J85" i="5"/>
  <c r="H85" i="5"/>
  <c r="E100" i="1"/>
  <c r="D100" i="1"/>
  <c r="C101" i="1" s="1"/>
  <c r="F101" i="1" l="1"/>
  <c r="H101" i="1" s="1"/>
  <c r="G100" i="1"/>
  <c r="I100" i="1"/>
  <c r="I101" i="1"/>
  <c r="E71" i="4"/>
  <c r="G71" i="4" s="1"/>
  <c r="J71" i="4"/>
  <c r="K71" i="4"/>
  <c r="I71" i="4"/>
  <c r="I87" i="5"/>
  <c r="H87" i="5"/>
  <c r="J87" i="5"/>
  <c r="D87" i="5"/>
  <c r="D101" i="1"/>
  <c r="C102" i="1" s="1"/>
  <c r="E101" i="1"/>
  <c r="G101" i="1" l="1"/>
  <c r="F102" i="1"/>
  <c r="F71" i="4"/>
  <c r="H72" i="4" s="1"/>
  <c r="I72" i="4" s="1"/>
  <c r="F87" i="5"/>
  <c r="E87" i="5"/>
  <c r="G88" i="5" s="1"/>
  <c r="D102" i="1"/>
  <c r="C103" i="1" s="1"/>
  <c r="E102" i="1"/>
  <c r="F103" i="1" l="1"/>
  <c r="I102" i="1"/>
  <c r="G102" i="1"/>
  <c r="H102" i="1"/>
  <c r="J72" i="4"/>
  <c r="E72" i="4"/>
  <c r="G72" i="4" s="1"/>
  <c r="K72" i="4"/>
  <c r="J88" i="5"/>
  <c r="I88" i="5"/>
  <c r="H88" i="5"/>
  <c r="D88" i="5"/>
  <c r="E103" i="1"/>
  <c r="D103" i="1"/>
  <c r="C104" i="1" s="1"/>
  <c r="F104" i="1" l="1"/>
  <c r="G103" i="1"/>
  <c r="I103" i="1"/>
  <c r="H103" i="1"/>
  <c r="F72" i="4"/>
  <c r="H73" i="4" s="1"/>
  <c r="I73" i="4" s="1"/>
  <c r="F88" i="5"/>
  <c r="E88" i="5"/>
  <c r="G89" i="5" s="1"/>
  <c r="E104" i="1"/>
  <c r="D104" i="1"/>
  <c r="C105" i="1" s="1"/>
  <c r="H104" i="1" l="1"/>
  <c r="I104" i="1"/>
  <c r="G104" i="1"/>
  <c r="F105" i="1"/>
  <c r="J73" i="4"/>
  <c r="K73" i="4"/>
  <c r="J89" i="5"/>
  <c r="I89" i="5"/>
  <c r="H89" i="5"/>
  <c r="D89" i="5"/>
  <c r="E73" i="4"/>
  <c r="E105" i="1"/>
  <c r="D105" i="1"/>
  <c r="C106" i="1" s="1"/>
  <c r="I105" i="1" l="1"/>
  <c r="H105" i="1"/>
  <c r="G105" i="1"/>
  <c r="F106" i="1"/>
  <c r="E89" i="5"/>
  <c r="G90" i="5" s="1"/>
  <c r="F89" i="5"/>
  <c r="F73" i="4"/>
  <c r="E74" i="4" s="1"/>
  <c r="G73" i="4"/>
  <c r="D106" i="1"/>
  <c r="C107" i="1" s="1"/>
  <c r="E106" i="1"/>
  <c r="G106" i="1" l="1"/>
  <c r="H106" i="1"/>
  <c r="I106" i="1"/>
  <c r="F107" i="1"/>
  <c r="H74" i="4"/>
  <c r="J90" i="5"/>
  <c r="I90" i="5"/>
  <c r="H90" i="5"/>
  <c r="D90" i="5"/>
  <c r="F74" i="4"/>
  <c r="E75" i="4" s="1"/>
  <c r="G74" i="4"/>
  <c r="D107" i="1"/>
  <c r="C108" i="1" s="1"/>
  <c r="E107" i="1"/>
  <c r="H107" i="1" l="1"/>
  <c r="I107" i="1"/>
  <c r="G107" i="1"/>
  <c r="F108" i="1"/>
  <c r="K74" i="4"/>
  <c r="J74" i="4"/>
  <c r="I74" i="4"/>
  <c r="H75" i="4"/>
  <c r="F90" i="5"/>
  <c r="E90" i="5"/>
  <c r="G91" i="5" s="1"/>
  <c r="F75" i="4"/>
  <c r="E76" i="4" s="1"/>
  <c r="G75" i="4"/>
  <c r="D108" i="1"/>
  <c r="C109" i="1" s="1"/>
  <c r="E108" i="1"/>
  <c r="I108" i="1" l="1"/>
  <c r="G108" i="1"/>
  <c r="H108" i="1"/>
  <c r="F109" i="1"/>
  <c r="D91" i="5"/>
  <c r="J75" i="4"/>
  <c r="I75" i="4"/>
  <c r="K75" i="4"/>
  <c r="H76" i="4"/>
  <c r="H91" i="5"/>
  <c r="I91" i="5"/>
  <c r="J91" i="5"/>
  <c r="F91" i="5"/>
  <c r="E91" i="5"/>
  <c r="G92" i="5" s="1"/>
  <c r="F76" i="4"/>
  <c r="E77" i="4" s="1"/>
  <c r="G76" i="4"/>
  <c r="D109" i="1"/>
  <c r="C110" i="1" s="1"/>
  <c r="E109" i="1"/>
  <c r="F110" i="1" l="1"/>
  <c r="H109" i="1"/>
  <c r="I109" i="1"/>
  <c r="G109" i="1"/>
  <c r="F111" i="1"/>
  <c r="I110" i="1"/>
  <c r="H110" i="1"/>
  <c r="G110" i="1"/>
  <c r="I76" i="4"/>
  <c r="J76" i="4"/>
  <c r="K76" i="4"/>
  <c r="H77" i="4"/>
  <c r="I92" i="5"/>
  <c r="H92" i="5"/>
  <c r="J92" i="5"/>
  <c r="D92" i="5"/>
  <c r="F77" i="4"/>
  <c r="H78" i="4" s="1"/>
  <c r="G77" i="4"/>
  <c r="D110" i="1"/>
  <c r="C111" i="1" s="1"/>
  <c r="E110" i="1"/>
  <c r="G111" i="1" l="1"/>
  <c r="H111" i="1"/>
  <c r="I111" i="1"/>
  <c r="K78" i="4"/>
  <c r="I78" i="4"/>
  <c r="J78" i="4"/>
  <c r="K77" i="4"/>
  <c r="I77" i="4"/>
  <c r="J77" i="4"/>
  <c r="F92" i="5"/>
  <c r="E92" i="5"/>
  <c r="G93" i="5" s="1"/>
  <c r="E78" i="4"/>
  <c r="E111" i="1"/>
  <c r="D111" i="1"/>
  <c r="C112" i="1" s="1"/>
  <c r="F112" i="1" l="1"/>
  <c r="J93" i="5"/>
  <c r="I93" i="5"/>
  <c r="H93" i="5"/>
  <c r="D93" i="5"/>
  <c r="G78" i="4"/>
  <c r="F78" i="4"/>
  <c r="H79" i="4" s="1"/>
  <c r="E112" i="1"/>
  <c r="D112" i="1"/>
  <c r="C113" i="1" s="1"/>
  <c r="H112" i="1" l="1"/>
  <c r="I112" i="1"/>
  <c r="G112" i="1"/>
  <c r="F113" i="1"/>
  <c r="J79" i="4"/>
  <c r="K79" i="4"/>
  <c r="I79" i="4"/>
  <c r="F93" i="5"/>
  <c r="E93" i="5"/>
  <c r="G94" i="5" s="1"/>
  <c r="E79" i="4"/>
  <c r="D113" i="1"/>
  <c r="C114" i="1" s="1"/>
  <c r="E113" i="1"/>
  <c r="I113" i="1" l="1"/>
  <c r="H113" i="1"/>
  <c r="G113" i="1"/>
  <c r="F114" i="1"/>
  <c r="J94" i="5"/>
  <c r="I94" i="5"/>
  <c r="H94" i="5"/>
  <c r="D94" i="5"/>
  <c r="G79" i="4"/>
  <c r="F79" i="4"/>
  <c r="H80" i="4" s="1"/>
  <c r="D114" i="1"/>
  <c r="C115" i="1" s="1"/>
  <c r="E114" i="1"/>
  <c r="G114" i="1" l="1"/>
  <c r="H114" i="1"/>
  <c r="I114" i="1"/>
  <c r="F115" i="1"/>
  <c r="I80" i="4"/>
  <c r="J80" i="4"/>
  <c r="K80" i="4"/>
  <c r="F94" i="5"/>
  <c r="E94" i="5"/>
  <c r="G95" i="5" s="1"/>
  <c r="D95" i="5"/>
  <c r="E80" i="4"/>
  <c r="E115" i="1"/>
  <c r="D115" i="1"/>
  <c r="C116" i="1" s="1"/>
  <c r="H115" i="1" l="1"/>
  <c r="I115" i="1"/>
  <c r="G115" i="1"/>
  <c r="F116" i="1"/>
  <c r="I95" i="5"/>
  <c r="H95" i="5"/>
  <c r="J95" i="5"/>
  <c r="F95" i="5"/>
  <c r="E95" i="5"/>
  <c r="G96" i="5" s="1"/>
  <c r="G80" i="4"/>
  <c r="F80" i="4"/>
  <c r="H81" i="4" s="1"/>
  <c r="E116" i="1"/>
  <c r="D116" i="1"/>
  <c r="C117" i="1" s="1"/>
  <c r="G116" i="1" l="1"/>
  <c r="H116" i="1"/>
  <c r="I116" i="1"/>
  <c r="F117" i="1"/>
  <c r="D96" i="5"/>
  <c r="G97" i="5" s="1"/>
  <c r="I81" i="4"/>
  <c r="K81" i="4"/>
  <c r="J81" i="4"/>
  <c r="J96" i="5"/>
  <c r="I96" i="5"/>
  <c r="H96" i="5"/>
  <c r="E96" i="5"/>
  <c r="D97" i="5" s="1"/>
  <c r="F96" i="5"/>
  <c r="E81" i="4"/>
  <c r="D117" i="1"/>
  <c r="C118" i="1" s="1"/>
  <c r="E117" i="1"/>
  <c r="H117" i="1" l="1"/>
  <c r="G117" i="1"/>
  <c r="I117" i="1"/>
  <c r="F118" i="1"/>
  <c r="H97" i="5"/>
  <c r="J97" i="5"/>
  <c r="I97" i="5"/>
  <c r="F97" i="5"/>
  <c r="E97" i="5"/>
  <c r="G98" i="5" s="1"/>
  <c r="D98" i="5"/>
  <c r="F81" i="4"/>
  <c r="E82" i="4" s="1"/>
  <c r="G81" i="4"/>
  <c r="D118" i="1"/>
  <c r="C119" i="1" s="1"/>
  <c r="E118" i="1"/>
  <c r="I118" i="1" l="1"/>
  <c r="G118" i="1"/>
  <c r="H118" i="1"/>
  <c r="F119" i="1"/>
  <c r="H82" i="4"/>
  <c r="J98" i="5"/>
  <c r="I98" i="5"/>
  <c r="H98" i="5"/>
  <c r="F98" i="5"/>
  <c r="E98" i="5"/>
  <c r="G99" i="5" s="1"/>
  <c r="G82" i="4"/>
  <c r="F82" i="4"/>
  <c r="E83" i="4" s="1"/>
  <c r="E119" i="1"/>
  <c r="D119" i="1"/>
  <c r="C120" i="1" s="1"/>
  <c r="G119" i="1" l="1"/>
  <c r="I119" i="1"/>
  <c r="H119" i="1"/>
  <c r="F120" i="1"/>
  <c r="K82" i="4"/>
  <c r="I82" i="4"/>
  <c r="J82" i="4"/>
  <c r="H83" i="4"/>
  <c r="H99" i="5"/>
  <c r="I99" i="5"/>
  <c r="J99" i="5"/>
  <c r="D99" i="5"/>
  <c r="G83" i="4"/>
  <c r="F83" i="4"/>
  <c r="E84" i="4" s="1"/>
  <c r="E120" i="1"/>
  <c r="D120" i="1"/>
  <c r="C121" i="1" s="1"/>
  <c r="H120" i="1" l="1"/>
  <c r="I120" i="1"/>
  <c r="G120" i="1"/>
  <c r="F121" i="1"/>
  <c r="H84" i="4"/>
  <c r="I84" i="4" s="1"/>
  <c r="J83" i="4"/>
  <c r="K83" i="4"/>
  <c r="I83" i="4"/>
  <c r="E99" i="5"/>
  <c r="G100" i="5" s="1"/>
  <c r="F99" i="5"/>
  <c r="D100" i="5"/>
  <c r="F84" i="4"/>
  <c r="E85" i="4" s="1"/>
  <c r="G84" i="4"/>
  <c r="D121" i="1"/>
  <c r="C122" i="1" s="1"/>
  <c r="E121" i="1"/>
  <c r="I121" i="1" l="1"/>
  <c r="H121" i="1"/>
  <c r="G121" i="1"/>
  <c r="F122" i="1"/>
  <c r="J84" i="4"/>
  <c r="K84" i="4"/>
  <c r="H85" i="4"/>
  <c r="I100" i="5"/>
  <c r="J100" i="5"/>
  <c r="H100" i="5"/>
  <c r="E100" i="5"/>
  <c r="G101" i="5" s="1"/>
  <c r="F100" i="5"/>
  <c r="F85" i="4"/>
  <c r="H86" i="4" s="1"/>
  <c r="G85" i="4"/>
  <c r="D122" i="1"/>
  <c r="C123" i="1" s="1"/>
  <c r="E122" i="1"/>
  <c r="G122" i="1" l="1"/>
  <c r="H122" i="1"/>
  <c r="I122" i="1"/>
  <c r="F123" i="1"/>
  <c r="D101" i="5"/>
  <c r="K86" i="4"/>
  <c r="J86" i="4"/>
  <c r="I86" i="4"/>
  <c r="K85" i="4"/>
  <c r="I85" i="4"/>
  <c r="J85" i="4"/>
  <c r="J101" i="5"/>
  <c r="I101" i="5"/>
  <c r="H101" i="5"/>
  <c r="F101" i="5"/>
  <c r="E101" i="5"/>
  <c r="G102" i="5" s="1"/>
  <c r="D102" i="5"/>
  <c r="E86" i="4"/>
  <c r="E123" i="1"/>
  <c r="D123" i="1"/>
  <c r="C124" i="1" s="1"/>
  <c r="H123" i="1" l="1"/>
  <c r="I123" i="1"/>
  <c r="G123" i="1"/>
  <c r="F124" i="1"/>
  <c r="I102" i="5"/>
  <c r="H102" i="5"/>
  <c r="J102" i="5"/>
  <c r="F102" i="5"/>
  <c r="E102" i="5"/>
  <c r="G103" i="5" s="1"/>
  <c r="G86" i="4"/>
  <c r="F86" i="4"/>
  <c r="H87" i="4" s="1"/>
  <c r="E124" i="1"/>
  <c r="D124" i="1"/>
  <c r="C125" i="1" s="1"/>
  <c r="I124" i="1" l="1"/>
  <c r="H124" i="1"/>
  <c r="G124" i="1"/>
  <c r="F125" i="1"/>
  <c r="J87" i="4"/>
  <c r="K87" i="4"/>
  <c r="I87" i="4"/>
  <c r="J103" i="5"/>
  <c r="H103" i="5"/>
  <c r="I103" i="5"/>
  <c r="D103" i="5"/>
  <c r="E87" i="4"/>
  <c r="D125" i="1"/>
  <c r="C126" i="1" s="1"/>
  <c r="E125" i="1"/>
  <c r="F126" i="1" l="1"/>
  <c r="H125" i="1"/>
  <c r="G125" i="1"/>
  <c r="I125" i="1"/>
  <c r="F103" i="5"/>
  <c r="E103" i="5"/>
  <c r="G104" i="5"/>
  <c r="D104" i="5"/>
  <c r="G87" i="4"/>
  <c r="F87" i="4"/>
  <c r="E88" i="4" s="1"/>
  <c r="E126" i="1"/>
  <c r="D126" i="1"/>
  <c r="C127" i="1" s="1"/>
  <c r="F127" i="1" l="1"/>
  <c r="I126" i="1"/>
  <c r="H126" i="1"/>
  <c r="G126" i="1"/>
  <c r="H88" i="4"/>
  <c r="H104" i="5"/>
  <c r="J104" i="5"/>
  <c r="I104" i="5"/>
  <c r="E104" i="5"/>
  <c r="D105" i="5" s="1"/>
  <c r="F104" i="5"/>
  <c r="F88" i="4"/>
  <c r="H89" i="4" s="1"/>
  <c r="G88" i="4"/>
  <c r="D127" i="1"/>
  <c r="C128" i="1" s="1"/>
  <c r="E127" i="1"/>
  <c r="G127" i="1" l="1"/>
  <c r="H127" i="1"/>
  <c r="I127" i="1"/>
  <c r="F128" i="1"/>
  <c r="I89" i="4"/>
  <c r="K89" i="4"/>
  <c r="J89" i="4"/>
  <c r="I88" i="4"/>
  <c r="J88" i="4"/>
  <c r="K88" i="4"/>
  <c r="F105" i="5"/>
  <c r="E105" i="5"/>
  <c r="G106" i="5" s="1"/>
  <c r="G105" i="5"/>
  <c r="E89" i="4"/>
  <c r="E128" i="1"/>
  <c r="D128" i="1"/>
  <c r="C129" i="1" s="1"/>
  <c r="F129" i="1" l="1"/>
  <c r="H128" i="1"/>
  <c r="I128" i="1"/>
  <c r="G128" i="1"/>
  <c r="I129" i="1"/>
  <c r="G129" i="1"/>
  <c r="H129" i="1"/>
  <c r="F130" i="1"/>
  <c r="F89" i="4"/>
  <c r="H90" i="4" s="1"/>
  <c r="I106" i="5"/>
  <c r="H106" i="5"/>
  <c r="J106" i="5"/>
  <c r="J105" i="5"/>
  <c r="I105" i="5"/>
  <c r="H105" i="5"/>
  <c r="D106" i="5"/>
  <c r="G89" i="4"/>
  <c r="D129" i="1"/>
  <c r="C130" i="1" s="1"/>
  <c r="E129" i="1"/>
  <c r="G130" i="1" l="1"/>
  <c r="H130" i="1"/>
  <c r="I130" i="1"/>
  <c r="E90" i="4"/>
  <c r="G90" i="4" s="1"/>
  <c r="K90" i="4"/>
  <c r="I90" i="4"/>
  <c r="J90" i="4"/>
  <c r="E106" i="5"/>
  <c r="G107" i="5" s="1"/>
  <c r="F106" i="5"/>
  <c r="D107" i="5"/>
  <c r="E130" i="1"/>
  <c r="D130" i="1"/>
  <c r="C131" i="1" s="1"/>
  <c r="F131" i="1" l="1"/>
  <c r="F90" i="4"/>
  <c r="H91" i="4" s="1"/>
  <c r="J91" i="4" s="1"/>
  <c r="H107" i="5"/>
  <c r="J107" i="5"/>
  <c r="I107" i="5"/>
  <c r="E107" i="5"/>
  <c r="G108" i="5" s="1"/>
  <c r="F107" i="5"/>
  <c r="D131" i="1"/>
  <c r="C132" i="1" s="1"/>
  <c r="E131" i="1"/>
  <c r="H131" i="1" l="1"/>
  <c r="I131" i="1"/>
  <c r="G131" i="1"/>
  <c r="F132" i="1"/>
  <c r="D108" i="5"/>
  <c r="D109" i="5" s="1"/>
  <c r="I91" i="4"/>
  <c r="K91" i="4"/>
  <c r="E91" i="4"/>
  <c r="G91" i="4" s="1"/>
  <c r="I108" i="5"/>
  <c r="J108" i="5"/>
  <c r="H108" i="5"/>
  <c r="E108" i="5"/>
  <c r="G109" i="5" s="1"/>
  <c r="F108" i="5"/>
  <c r="E132" i="1"/>
  <c r="D132" i="1"/>
  <c r="C133" i="1" s="1"/>
  <c r="H132" i="1" l="1"/>
  <c r="I132" i="1"/>
  <c r="G132" i="1"/>
  <c r="F133" i="1"/>
  <c r="F91" i="4"/>
  <c r="E92" i="4" s="1"/>
  <c r="G92" i="4" s="1"/>
  <c r="J109" i="5"/>
  <c r="I109" i="5"/>
  <c r="H109" i="5"/>
  <c r="F109" i="5"/>
  <c r="E109" i="5"/>
  <c r="D110" i="5" s="1"/>
  <c r="D133" i="1"/>
  <c r="C134" i="1" s="1"/>
  <c r="E133" i="1"/>
  <c r="H133" i="1" l="1"/>
  <c r="G133" i="1"/>
  <c r="I133" i="1"/>
  <c r="F134" i="1"/>
  <c r="F92" i="4"/>
  <c r="H93" i="4" s="1"/>
  <c r="I93" i="4" s="1"/>
  <c r="H92" i="4"/>
  <c r="I92" i="4" s="1"/>
  <c r="E110" i="5"/>
  <c r="G111" i="5" s="1"/>
  <c r="F110" i="5"/>
  <c r="D111" i="5"/>
  <c r="G110" i="5"/>
  <c r="D134" i="1"/>
  <c r="C135" i="1" s="1"/>
  <c r="E134" i="1"/>
  <c r="I134" i="1" l="1"/>
  <c r="G134" i="1"/>
  <c r="H134" i="1"/>
  <c r="F135" i="1"/>
  <c r="K92" i="4"/>
  <c r="J92" i="4"/>
  <c r="E93" i="4"/>
  <c r="F93" i="4" s="1"/>
  <c r="H94" i="4" s="1"/>
  <c r="K93" i="4"/>
  <c r="J93" i="4"/>
  <c r="J111" i="5"/>
  <c r="I111" i="5"/>
  <c r="H111" i="5"/>
  <c r="E111" i="5"/>
  <c r="G112" i="5" s="1"/>
  <c r="F111" i="5"/>
  <c r="D112" i="5"/>
  <c r="I110" i="5"/>
  <c r="H110" i="5"/>
  <c r="J110" i="5"/>
  <c r="D135" i="1"/>
  <c r="C136" i="1" s="1"/>
  <c r="E135" i="1"/>
  <c r="G135" i="1" l="1"/>
  <c r="I135" i="1"/>
  <c r="H135" i="1"/>
  <c r="F137" i="1"/>
  <c r="F136" i="1"/>
  <c r="G93" i="4"/>
  <c r="E94" i="4"/>
  <c r="F94" i="4" s="1"/>
  <c r="E95" i="4" s="1"/>
  <c r="K94" i="4"/>
  <c r="I94" i="4"/>
  <c r="J94" i="4"/>
  <c r="I112" i="5"/>
  <c r="J112" i="5"/>
  <c r="H112" i="5"/>
  <c r="E112" i="5"/>
  <c r="F112" i="5"/>
  <c r="G113" i="5"/>
  <c r="D113" i="5"/>
  <c r="D136" i="1"/>
  <c r="C137" i="1" s="1"/>
  <c r="E136" i="1"/>
  <c r="H136" i="1" l="1"/>
  <c r="I136" i="1"/>
  <c r="G136" i="1"/>
  <c r="F138" i="1"/>
  <c r="I137" i="1"/>
  <c r="H137" i="1"/>
  <c r="G137" i="1"/>
  <c r="G94" i="4"/>
  <c r="H95" i="4"/>
  <c r="F95" i="4"/>
  <c r="H96" i="4" s="1"/>
  <c r="I113" i="5"/>
  <c r="H113" i="5"/>
  <c r="J113" i="5"/>
  <c r="F113" i="5"/>
  <c r="E113" i="5"/>
  <c r="G114" i="5" s="1"/>
  <c r="G95" i="4"/>
  <c r="E137" i="1"/>
  <c r="D137" i="1"/>
  <c r="C138" i="1" s="1"/>
  <c r="G138" i="1" l="1"/>
  <c r="H138" i="1"/>
  <c r="I138" i="1"/>
  <c r="E96" i="4"/>
  <c r="F96" i="4" s="1"/>
  <c r="H97" i="4" s="1"/>
  <c r="I96" i="4"/>
  <c r="J96" i="4"/>
  <c r="K96" i="4"/>
  <c r="J95" i="4"/>
  <c r="K95" i="4"/>
  <c r="I95" i="4"/>
  <c r="J114" i="5"/>
  <c r="I114" i="5"/>
  <c r="H114" i="5"/>
  <c r="D114" i="5"/>
  <c r="D138" i="1"/>
  <c r="C139" i="1" s="1"/>
  <c r="E138" i="1"/>
  <c r="F139" i="1" l="1"/>
  <c r="G96" i="4"/>
  <c r="I97" i="4"/>
  <c r="K97" i="4"/>
  <c r="J97" i="4"/>
  <c r="F114" i="5"/>
  <c r="E114" i="5"/>
  <c r="D115" i="5" s="1"/>
  <c r="E97" i="4"/>
  <c r="E139" i="1"/>
  <c r="D139" i="1"/>
  <c r="C140" i="1" s="1"/>
  <c r="H139" i="1" l="1"/>
  <c r="I139" i="1"/>
  <c r="G139" i="1"/>
  <c r="F140" i="1"/>
  <c r="F115" i="5"/>
  <c r="E115" i="5"/>
  <c r="D116" i="5" s="1"/>
  <c r="G115" i="5"/>
  <c r="F97" i="4"/>
  <c r="H98" i="4" s="1"/>
  <c r="G97" i="4"/>
  <c r="E140" i="1"/>
  <c r="D140" i="1"/>
  <c r="C141" i="1" s="1"/>
  <c r="I140" i="1" l="1"/>
  <c r="G140" i="1"/>
  <c r="H140" i="1"/>
  <c r="F141" i="1"/>
  <c r="K98" i="4"/>
  <c r="I98" i="4"/>
  <c r="J98" i="4"/>
  <c r="F116" i="5"/>
  <c r="E116" i="5"/>
  <c r="G117" i="5" s="1"/>
  <c r="G116" i="5"/>
  <c r="H115" i="5"/>
  <c r="J115" i="5"/>
  <c r="I115" i="5"/>
  <c r="E98" i="4"/>
  <c r="D141" i="1"/>
  <c r="C142" i="1" s="1"/>
  <c r="E141" i="1"/>
  <c r="H141" i="1" l="1"/>
  <c r="I141" i="1"/>
  <c r="G141" i="1"/>
  <c r="F142" i="1"/>
  <c r="J117" i="5"/>
  <c r="H117" i="5"/>
  <c r="I117" i="5"/>
  <c r="D117" i="5"/>
  <c r="I116" i="5"/>
  <c r="H116" i="5"/>
  <c r="J116" i="5"/>
  <c r="F98" i="4"/>
  <c r="H99" i="4" s="1"/>
  <c r="G98" i="4"/>
  <c r="D142" i="1"/>
  <c r="C143" i="1" s="1"/>
  <c r="E142" i="1"/>
  <c r="I142" i="1" l="1"/>
  <c r="H142" i="1"/>
  <c r="G142" i="1"/>
  <c r="F143" i="1"/>
  <c r="J99" i="4"/>
  <c r="K99" i="4"/>
  <c r="I99" i="4"/>
  <c r="F117" i="5"/>
  <c r="E117" i="5"/>
  <c r="G118" i="5" s="1"/>
  <c r="D118" i="5"/>
  <c r="E99" i="4"/>
  <c r="F99" i="4" s="1"/>
  <c r="E143" i="1"/>
  <c r="D143" i="1"/>
  <c r="C144" i="1" s="1"/>
  <c r="F144" i="1" l="1"/>
  <c r="G143" i="1"/>
  <c r="H143" i="1"/>
  <c r="I143" i="1"/>
  <c r="G99" i="4"/>
  <c r="H100" i="4"/>
  <c r="J118" i="5"/>
  <c r="I118" i="5"/>
  <c r="H118" i="5"/>
  <c r="F118" i="5"/>
  <c r="E118" i="5"/>
  <c r="D119" i="5" s="1"/>
  <c r="E100" i="4"/>
  <c r="D144" i="1"/>
  <c r="C145" i="1" s="1"/>
  <c r="E144" i="1"/>
  <c r="H144" i="1" l="1"/>
  <c r="I144" i="1"/>
  <c r="G144" i="1"/>
  <c r="F145" i="1"/>
  <c r="I100" i="4"/>
  <c r="J100" i="4"/>
  <c r="K100" i="4"/>
  <c r="F119" i="5"/>
  <c r="E119" i="5"/>
  <c r="D120" i="5" s="1"/>
  <c r="G119" i="5"/>
  <c r="F100" i="4"/>
  <c r="H101" i="4" s="1"/>
  <c r="G100" i="4"/>
  <c r="E145" i="1"/>
  <c r="D145" i="1"/>
  <c r="C146" i="1" s="1"/>
  <c r="I145" i="1" l="1"/>
  <c r="H145" i="1"/>
  <c r="G145" i="1"/>
  <c r="F146" i="1"/>
  <c r="K101" i="4"/>
  <c r="I101" i="4"/>
  <c r="J101" i="4"/>
  <c r="E120" i="5"/>
  <c r="F120" i="5"/>
  <c r="G121" i="5"/>
  <c r="D121" i="5"/>
  <c r="G120" i="5"/>
  <c r="J119" i="5"/>
  <c r="I119" i="5"/>
  <c r="H119" i="5"/>
  <c r="E101" i="4"/>
  <c r="E146" i="1"/>
  <c r="D146" i="1"/>
  <c r="C147" i="1" s="1"/>
  <c r="G146" i="1" l="1"/>
  <c r="H146" i="1"/>
  <c r="I146" i="1"/>
  <c r="F147" i="1"/>
  <c r="F121" i="5"/>
  <c r="E121" i="5"/>
  <c r="G122" i="5" s="1"/>
  <c r="H121" i="5"/>
  <c r="J121" i="5"/>
  <c r="I121" i="5"/>
  <c r="J120" i="5"/>
  <c r="H120" i="5"/>
  <c r="I120" i="5"/>
  <c r="F101" i="4"/>
  <c r="H102" i="4" s="1"/>
  <c r="G101" i="4"/>
  <c r="E147" i="1"/>
  <c r="D147" i="1"/>
  <c r="C148" i="1" s="1"/>
  <c r="F148" i="1" l="1"/>
  <c r="H147" i="1"/>
  <c r="I147" i="1"/>
  <c r="G147" i="1"/>
  <c r="G148" i="1"/>
  <c r="H148" i="1"/>
  <c r="I148" i="1"/>
  <c r="F149" i="1"/>
  <c r="K102" i="4"/>
  <c r="I102" i="4"/>
  <c r="J102" i="4"/>
  <c r="J122" i="5"/>
  <c r="I122" i="5"/>
  <c r="H122" i="5"/>
  <c r="D122" i="5"/>
  <c r="E102" i="4"/>
  <c r="E148" i="1"/>
  <c r="D148" i="1"/>
  <c r="C149" i="1" s="1"/>
  <c r="H149" i="1" l="1"/>
  <c r="I149" i="1"/>
  <c r="G149" i="1"/>
  <c r="F122" i="5"/>
  <c r="E122" i="5"/>
  <c r="G123" i="5" s="1"/>
  <c r="D123" i="5"/>
  <c r="F102" i="4"/>
  <c r="H103" i="4" s="1"/>
  <c r="G102" i="4"/>
  <c r="E149" i="1"/>
  <c r="D149" i="1"/>
  <c r="C150" i="1" s="1"/>
  <c r="F150" i="1" l="1"/>
  <c r="J103" i="4"/>
  <c r="K103" i="4"/>
  <c r="I103" i="4"/>
  <c r="H123" i="5"/>
  <c r="J123" i="5"/>
  <c r="I123" i="5"/>
  <c r="E123" i="5"/>
  <c r="G124" i="5" s="1"/>
  <c r="F123" i="5"/>
  <c r="E103" i="4"/>
  <c r="E150" i="1"/>
  <c r="D150" i="1"/>
  <c r="C151" i="1" s="1"/>
  <c r="I150" i="1" l="1"/>
  <c r="G150" i="1"/>
  <c r="H150" i="1"/>
  <c r="F151" i="1"/>
  <c r="I124" i="5"/>
  <c r="J124" i="5"/>
  <c r="H124" i="5"/>
  <c r="D124" i="5"/>
  <c r="F103" i="4"/>
  <c r="H104" i="4" s="1"/>
  <c r="G103" i="4"/>
  <c r="E151" i="1"/>
  <c r="D151" i="1"/>
  <c r="C152" i="1" s="1"/>
  <c r="G151" i="1" l="1"/>
  <c r="I151" i="1"/>
  <c r="H151" i="1"/>
  <c r="F152" i="1"/>
  <c r="I104" i="4"/>
  <c r="J104" i="4"/>
  <c r="K104" i="4"/>
  <c r="E124" i="5"/>
  <c r="G125" i="5" s="1"/>
  <c r="F124" i="5"/>
  <c r="D125" i="5"/>
  <c r="E104" i="4"/>
  <c r="D152" i="1"/>
  <c r="C153" i="1" s="1"/>
  <c r="E152" i="1"/>
  <c r="H152" i="1" l="1"/>
  <c r="I152" i="1"/>
  <c r="G152" i="1"/>
  <c r="F153" i="1"/>
  <c r="J125" i="5"/>
  <c r="I125" i="5"/>
  <c r="H125" i="5"/>
  <c r="F125" i="5"/>
  <c r="E125" i="5"/>
  <c r="D126" i="5" s="1"/>
  <c r="F104" i="4"/>
  <c r="H105" i="4" s="1"/>
  <c r="G104" i="4"/>
  <c r="D153" i="1"/>
  <c r="C154" i="1" s="1"/>
  <c r="E153" i="1"/>
  <c r="I153" i="1" l="1"/>
  <c r="H153" i="1"/>
  <c r="G153" i="1"/>
  <c r="F154" i="1"/>
  <c r="I105" i="4"/>
  <c r="K105" i="4"/>
  <c r="J105" i="4"/>
  <c r="F126" i="5"/>
  <c r="E126" i="5"/>
  <c r="G127" i="5" s="1"/>
  <c r="G126" i="5"/>
  <c r="E105" i="4"/>
  <c r="E154" i="1"/>
  <c r="D154" i="1"/>
  <c r="C155" i="1" s="1"/>
  <c r="G154" i="1" l="1"/>
  <c r="H154" i="1"/>
  <c r="I154" i="1"/>
  <c r="F155" i="1"/>
  <c r="J127" i="5"/>
  <c r="I127" i="5"/>
  <c r="H127" i="5"/>
  <c r="I126" i="5"/>
  <c r="H126" i="5"/>
  <c r="J126" i="5"/>
  <c r="D127" i="5"/>
  <c r="F105" i="4"/>
  <c r="H106" i="4" s="1"/>
  <c r="G105" i="4"/>
  <c r="E155" i="1"/>
  <c r="D155" i="1"/>
  <c r="C156" i="1" s="1"/>
  <c r="F156" i="1" l="1"/>
  <c r="H155" i="1"/>
  <c r="I155" i="1"/>
  <c r="G155" i="1"/>
  <c r="K106" i="4"/>
  <c r="I106" i="4"/>
  <c r="J106" i="4"/>
  <c r="E127" i="5"/>
  <c r="G128" i="5" s="1"/>
  <c r="F127" i="5"/>
  <c r="D128" i="5"/>
  <c r="E106" i="4"/>
  <c r="D156" i="1"/>
  <c r="C157" i="1" s="1"/>
  <c r="E156" i="1"/>
  <c r="F157" i="1" l="1"/>
  <c r="I156" i="1"/>
  <c r="H156" i="1"/>
  <c r="G156" i="1"/>
  <c r="J128" i="5"/>
  <c r="I128" i="5"/>
  <c r="H128" i="5"/>
  <c r="E128" i="5"/>
  <c r="G129" i="5" s="1"/>
  <c r="F128" i="5"/>
  <c r="D129" i="5"/>
  <c r="F106" i="4"/>
  <c r="H107" i="4" s="1"/>
  <c r="G106" i="4"/>
  <c r="D157" i="1"/>
  <c r="C158" i="1" s="1"/>
  <c r="E157" i="1"/>
  <c r="F158" i="1" l="1"/>
  <c r="H157" i="1"/>
  <c r="G157" i="1"/>
  <c r="I157" i="1"/>
  <c r="J107" i="4"/>
  <c r="I107" i="4"/>
  <c r="K107" i="4"/>
  <c r="I129" i="5"/>
  <c r="J129" i="5"/>
  <c r="H129" i="5"/>
  <c r="F129" i="5"/>
  <c r="E129" i="5"/>
  <c r="D130" i="5" s="1"/>
  <c r="E107" i="4"/>
  <c r="D158" i="1"/>
  <c r="C159" i="1" s="1"/>
  <c r="E158" i="1"/>
  <c r="F159" i="1" l="1"/>
  <c r="I158" i="1"/>
  <c r="H158" i="1"/>
  <c r="G158" i="1"/>
  <c r="F130" i="5"/>
  <c r="E130" i="5"/>
  <c r="D131" i="5" s="1"/>
  <c r="G130" i="5"/>
  <c r="F107" i="4"/>
  <c r="H108" i="4" s="1"/>
  <c r="G107" i="4"/>
  <c r="D159" i="1"/>
  <c r="C160" i="1" s="1"/>
  <c r="E159" i="1"/>
  <c r="G159" i="1" l="1"/>
  <c r="H159" i="1"/>
  <c r="I159" i="1"/>
  <c r="F160" i="1"/>
  <c r="I108" i="4"/>
  <c r="J108" i="4"/>
  <c r="K108" i="4"/>
  <c r="F131" i="5"/>
  <c r="E131" i="5"/>
  <c r="G132" i="5" s="1"/>
  <c r="D132" i="5"/>
  <c r="G131" i="5"/>
  <c r="I130" i="5"/>
  <c r="H130" i="5"/>
  <c r="J130" i="5"/>
  <c r="E108" i="4"/>
  <c r="D160" i="1"/>
  <c r="C161" i="1" s="1"/>
  <c r="E160" i="1"/>
  <c r="H160" i="1" l="1"/>
  <c r="I160" i="1"/>
  <c r="G160" i="1"/>
  <c r="F162" i="1"/>
  <c r="F161" i="1"/>
  <c r="I132" i="5"/>
  <c r="J132" i="5"/>
  <c r="H132" i="5"/>
  <c r="F132" i="5"/>
  <c r="E132" i="5"/>
  <c r="G133" i="5" s="1"/>
  <c r="D133" i="5"/>
  <c r="H131" i="5"/>
  <c r="J131" i="5"/>
  <c r="I131" i="5"/>
  <c r="F108" i="4"/>
  <c r="H109" i="4" s="1"/>
  <c r="G108" i="4"/>
  <c r="D161" i="1"/>
  <c r="C162" i="1" s="1"/>
  <c r="E161" i="1"/>
  <c r="E109" i="4" l="1"/>
  <c r="F109" i="4" s="1"/>
  <c r="H110" i="4" s="1"/>
  <c r="I161" i="1"/>
  <c r="G161" i="1"/>
  <c r="H161" i="1"/>
  <c r="H162" i="1"/>
  <c r="I162" i="1"/>
  <c r="G162" i="1"/>
  <c r="K109" i="4"/>
  <c r="I109" i="4"/>
  <c r="J109" i="4"/>
  <c r="J133" i="5"/>
  <c r="H133" i="5"/>
  <c r="I133" i="5"/>
  <c r="F133" i="5"/>
  <c r="E133" i="5"/>
  <c r="D134" i="5" s="1"/>
  <c r="E162" i="1"/>
  <c r="D162" i="1"/>
  <c r="C163" i="1" s="1"/>
  <c r="G109" i="4" l="1"/>
  <c r="F163" i="1"/>
  <c r="K110" i="4"/>
  <c r="I110" i="4"/>
  <c r="J110" i="4"/>
  <c r="F134" i="5"/>
  <c r="E134" i="5"/>
  <c r="G135" i="5" s="1"/>
  <c r="D135" i="5"/>
  <c r="G134" i="5"/>
  <c r="E110" i="4"/>
  <c r="E163" i="1"/>
  <c r="D163" i="1"/>
  <c r="C164" i="1" s="1"/>
  <c r="H163" i="1" l="1"/>
  <c r="I163" i="1"/>
  <c r="G163" i="1"/>
  <c r="F164" i="1"/>
  <c r="J135" i="5"/>
  <c r="I135" i="5"/>
  <c r="H135" i="5"/>
  <c r="F135" i="5"/>
  <c r="E135" i="5"/>
  <c r="G136" i="5" s="1"/>
  <c r="D136" i="5"/>
  <c r="H134" i="5"/>
  <c r="J134" i="5"/>
  <c r="I134" i="5"/>
  <c r="F110" i="4"/>
  <c r="E111" i="4" s="1"/>
  <c r="G110" i="4"/>
  <c r="E164" i="1"/>
  <c r="D164" i="1"/>
  <c r="C165" i="1" s="1"/>
  <c r="F165" i="1" l="1"/>
  <c r="H165" i="1" s="1"/>
  <c r="G164" i="1"/>
  <c r="H164" i="1"/>
  <c r="I164" i="1"/>
  <c r="H111" i="4"/>
  <c r="J136" i="5"/>
  <c r="I136" i="5"/>
  <c r="H136" i="5"/>
  <c r="E136" i="5"/>
  <c r="G137" i="5" s="1"/>
  <c r="F136" i="5"/>
  <c r="F111" i="4"/>
  <c r="H112" i="4" s="1"/>
  <c r="G111" i="4"/>
  <c r="D165" i="1"/>
  <c r="C166" i="1" s="1"/>
  <c r="E165" i="1"/>
  <c r="G165" i="1" l="1"/>
  <c r="I165" i="1"/>
  <c r="F166" i="1"/>
  <c r="I112" i="4"/>
  <c r="J112" i="4"/>
  <c r="K112" i="4"/>
  <c r="J111" i="4"/>
  <c r="K111" i="4"/>
  <c r="I111" i="4"/>
  <c r="J137" i="5"/>
  <c r="H137" i="5"/>
  <c r="I137" i="5"/>
  <c r="D137" i="5"/>
  <c r="E112" i="4"/>
  <c r="E166" i="1"/>
  <c r="D166" i="1"/>
  <c r="C167" i="1" s="1"/>
  <c r="I166" i="1" l="1"/>
  <c r="G166" i="1"/>
  <c r="H166" i="1"/>
  <c r="F167" i="1"/>
  <c r="F137" i="5"/>
  <c r="E137" i="5"/>
  <c r="G138" i="5" s="1"/>
  <c r="D138" i="5"/>
  <c r="F112" i="4"/>
  <c r="H113" i="4" s="1"/>
  <c r="G112" i="4"/>
  <c r="D167" i="1"/>
  <c r="C168" i="1" s="1"/>
  <c r="E167" i="1"/>
  <c r="I167" i="1" l="1"/>
  <c r="G167" i="1"/>
  <c r="H167" i="1"/>
  <c r="F168" i="1"/>
  <c r="E113" i="4"/>
  <c r="F113" i="4" s="1"/>
  <c r="H114" i="4" s="1"/>
  <c r="I113" i="4"/>
  <c r="K113" i="4"/>
  <c r="J113" i="4"/>
  <c r="H138" i="5"/>
  <c r="J138" i="5"/>
  <c r="I138" i="5"/>
  <c r="F138" i="5"/>
  <c r="E138" i="5"/>
  <c r="G139" i="5" s="1"/>
  <c r="G113" i="4"/>
  <c r="E168" i="1"/>
  <c r="D168" i="1"/>
  <c r="C169" i="1" s="1"/>
  <c r="F169" i="1" l="1"/>
  <c r="I169" i="1" s="1"/>
  <c r="H168" i="1"/>
  <c r="I168" i="1"/>
  <c r="G168" i="1"/>
  <c r="K114" i="4"/>
  <c r="I114" i="4"/>
  <c r="J114" i="4"/>
  <c r="J139" i="5"/>
  <c r="H139" i="5"/>
  <c r="I139" i="5"/>
  <c r="D139" i="5"/>
  <c r="E114" i="4"/>
  <c r="E169" i="1"/>
  <c r="D169" i="1"/>
  <c r="C170" i="1" s="1"/>
  <c r="F170" i="1" l="1"/>
  <c r="G169" i="1"/>
  <c r="H169" i="1"/>
  <c r="H170" i="1"/>
  <c r="I170" i="1"/>
  <c r="G170" i="1"/>
  <c r="F171" i="1"/>
  <c r="F139" i="5"/>
  <c r="E139" i="5"/>
  <c r="D140" i="5" s="1"/>
  <c r="F114" i="4"/>
  <c r="H115" i="4" s="1"/>
  <c r="G114" i="4"/>
  <c r="D170" i="1"/>
  <c r="C171" i="1" s="1"/>
  <c r="E170" i="1"/>
  <c r="H171" i="1" l="1"/>
  <c r="I171" i="1"/>
  <c r="G171" i="1"/>
  <c r="J115" i="4"/>
  <c r="K115" i="4"/>
  <c r="I115" i="4"/>
  <c r="F140" i="5"/>
  <c r="E140" i="5"/>
  <c r="G141" i="5" s="1"/>
  <c r="G140" i="5"/>
  <c r="E115" i="4"/>
  <c r="E171" i="1"/>
  <c r="D171" i="1"/>
  <c r="C172" i="1" s="1"/>
  <c r="F172" i="1" l="1"/>
  <c r="J141" i="5"/>
  <c r="I141" i="5"/>
  <c r="H141" i="5"/>
  <c r="I140" i="5"/>
  <c r="J140" i="5"/>
  <c r="H140" i="5"/>
  <c r="D141" i="5"/>
  <c r="F115" i="4"/>
  <c r="H116" i="4" s="1"/>
  <c r="G115" i="4"/>
  <c r="D172" i="1"/>
  <c r="C173" i="1" s="1"/>
  <c r="E172" i="1"/>
  <c r="G172" i="1" l="1"/>
  <c r="I172" i="1"/>
  <c r="H172" i="1"/>
  <c r="F173" i="1"/>
  <c r="I116" i="4"/>
  <c r="K116" i="4"/>
  <c r="J116" i="4"/>
  <c r="F141" i="5"/>
  <c r="E141" i="5"/>
  <c r="G142" i="5" s="1"/>
  <c r="D142" i="5"/>
  <c r="E116" i="4"/>
  <c r="E173" i="1"/>
  <c r="D173" i="1"/>
  <c r="C174" i="1" s="1"/>
  <c r="H173" i="1" l="1"/>
  <c r="I173" i="1"/>
  <c r="G173" i="1"/>
  <c r="F174" i="1"/>
  <c r="J142" i="5"/>
  <c r="I142" i="5"/>
  <c r="H142" i="5"/>
  <c r="E142" i="5"/>
  <c r="G143" i="5" s="1"/>
  <c r="F142" i="5"/>
  <c r="F116" i="4"/>
  <c r="H117" i="4" s="1"/>
  <c r="G116" i="4"/>
  <c r="D174" i="1"/>
  <c r="C175" i="1" s="1"/>
  <c r="E174" i="1"/>
  <c r="I174" i="1" l="1"/>
  <c r="H174" i="1"/>
  <c r="G174" i="1"/>
  <c r="F175" i="1"/>
  <c r="K117" i="4"/>
  <c r="I117" i="4"/>
  <c r="J117" i="4"/>
  <c r="J143" i="5"/>
  <c r="I143" i="5"/>
  <c r="H143" i="5"/>
  <c r="D143" i="5"/>
  <c r="E117" i="4"/>
  <c r="D175" i="1"/>
  <c r="C176" i="1" s="1"/>
  <c r="E175" i="1"/>
  <c r="H175" i="1" l="1"/>
  <c r="G175" i="1"/>
  <c r="I175" i="1"/>
  <c r="F176" i="1"/>
  <c r="F143" i="5"/>
  <c r="E143" i="5"/>
  <c r="G144" i="5" s="1"/>
  <c r="F117" i="4"/>
  <c r="H118" i="4" s="1"/>
  <c r="G117" i="4"/>
  <c r="D176" i="1"/>
  <c r="C177" i="1" s="1"/>
  <c r="E176" i="1"/>
  <c r="F177" i="1" l="1"/>
  <c r="I177" i="1" s="1"/>
  <c r="H176" i="1"/>
  <c r="I176" i="1"/>
  <c r="G176" i="1"/>
  <c r="K118" i="4"/>
  <c r="I118" i="4"/>
  <c r="J118" i="4"/>
  <c r="H144" i="5"/>
  <c r="J144" i="5"/>
  <c r="I144" i="5"/>
  <c r="D144" i="5"/>
  <c r="E118" i="4"/>
  <c r="E177" i="1"/>
  <c r="D177" i="1"/>
  <c r="C178" i="1" s="1"/>
  <c r="H177" i="1" l="1"/>
  <c r="G177" i="1"/>
  <c r="F178" i="1"/>
  <c r="E144" i="5"/>
  <c r="F144" i="5"/>
  <c r="G145" i="5"/>
  <c r="D145" i="5"/>
  <c r="F118" i="4"/>
  <c r="H119" i="4" s="1"/>
  <c r="G118" i="4"/>
  <c r="D178" i="1"/>
  <c r="C179" i="1" s="1"/>
  <c r="E178" i="1"/>
  <c r="H178" i="1" l="1"/>
  <c r="I178" i="1"/>
  <c r="G178" i="1"/>
  <c r="F179" i="1"/>
  <c r="J119" i="4"/>
  <c r="K119" i="4"/>
  <c r="I119" i="4"/>
  <c r="H145" i="5"/>
  <c r="J145" i="5"/>
  <c r="I145" i="5"/>
  <c r="F145" i="5"/>
  <c r="E145" i="5"/>
  <c r="G146" i="5" s="1"/>
  <c r="E119" i="4"/>
  <c r="D179" i="1"/>
  <c r="C180" i="1" s="1"/>
  <c r="E179" i="1"/>
  <c r="H179" i="1" l="1"/>
  <c r="I179" i="1"/>
  <c r="G179" i="1"/>
  <c r="F180" i="1"/>
  <c r="I146" i="5"/>
  <c r="J146" i="5"/>
  <c r="H146" i="5"/>
  <c r="D146" i="5"/>
  <c r="F119" i="4"/>
  <c r="H120" i="4" s="1"/>
  <c r="G119" i="4"/>
  <c r="D180" i="1"/>
  <c r="C181" i="1" s="1"/>
  <c r="E180" i="1"/>
  <c r="G180" i="1" l="1"/>
  <c r="H180" i="1"/>
  <c r="I180" i="1"/>
  <c r="F181" i="1"/>
  <c r="I120" i="4"/>
  <c r="J120" i="4"/>
  <c r="K120" i="4"/>
  <c r="F146" i="5"/>
  <c r="E146" i="5"/>
  <c r="G147" i="5" s="1"/>
  <c r="D147" i="5"/>
  <c r="E120" i="4"/>
  <c r="E181" i="1"/>
  <c r="D181" i="1"/>
  <c r="C182" i="1" s="1"/>
  <c r="H181" i="1" l="1"/>
  <c r="G181" i="1"/>
  <c r="I181" i="1"/>
  <c r="F182" i="1"/>
  <c r="J147" i="5"/>
  <c r="H147" i="5"/>
  <c r="I147" i="5"/>
  <c r="F147" i="5"/>
  <c r="E147" i="5"/>
  <c r="G148" i="5" s="1"/>
  <c r="F120" i="4"/>
  <c r="H121" i="4" s="1"/>
  <c r="G120" i="4"/>
  <c r="E182" i="1"/>
  <c r="D182" i="1"/>
  <c r="C183" i="1" s="1"/>
  <c r="I182" i="1" l="1"/>
  <c r="G182" i="1"/>
  <c r="H182" i="1"/>
  <c r="F183" i="1"/>
  <c r="D148" i="5"/>
  <c r="I121" i="4"/>
  <c r="K121" i="4"/>
  <c r="J121" i="4"/>
  <c r="I148" i="5"/>
  <c r="J148" i="5"/>
  <c r="H148" i="5"/>
  <c r="F148" i="5"/>
  <c r="E148" i="5"/>
  <c r="G149" i="5" s="1"/>
  <c r="D149" i="5"/>
  <c r="E121" i="4"/>
  <c r="E183" i="1"/>
  <c r="D183" i="1"/>
  <c r="C184" i="1" s="1"/>
  <c r="I183" i="1" l="1"/>
  <c r="G183" i="1"/>
  <c r="H183" i="1"/>
  <c r="F184" i="1"/>
  <c r="J149" i="5"/>
  <c r="I149" i="5"/>
  <c r="H149" i="5"/>
  <c r="E149" i="5"/>
  <c r="D150" i="5" s="1"/>
  <c r="F149" i="5"/>
  <c r="F121" i="4"/>
  <c r="H122" i="4" s="1"/>
  <c r="G121" i="4"/>
  <c r="E184" i="1"/>
  <c r="D184" i="1"/>
  <c r="C185" i="1" s="1"/>
  <c r="H184" i="1" l="1"/>
  <c r="I184" i="1"/>
  <c r="G184" i="1"/>
  <c r="F185" i="1"/>
  <c r="K122" i="4"/>
  <c r="J122" i="4"/>
  <c r="I122" i="4"/>
  <c r="E150" i="5"/>
  <c r="F150" i="5"/>
  <c r="G151" i="5"/>
  <c r="D151" i="5"/>
  <c r="G150" i="5"/>
  <c r="E122" i="4"/>
  <c r="E185" i="1"/>
  <c r="D185" i="1"/>
  <c r="C186" i="1" s="1"/>
  <c r="I185" i="1" l="1"/>
  <c r="H185" i="1"/>
  <c r="G185" i="1"/>
  <c r="F186" i="1"/>
  <c r="F151" i="5"/>
  <c r="E151" i="5"/>
  <c r="G152" i="5" s="1"/>
  <c r="H150" i="5"/>
  <c r="J150" i="5"/>
  <c r="I150" i="5"/>
  <c r="J151" i="5"/>
  <c r="I151" i="5"/>
  <c r="H151" i="5"/>
  <c r="F122" i="4"/>
  <c r="E123" i="4" s="1"/>
  <c r="G122" i="4"/>
  <c r="D186" i="1"/>
  <c r="C187" i="1" s="1"/>
  <c r="E186" i="1"/>
  <c r="H186" i="1" l="1"/>
  <c r="I186" i="1"/>
  <c r="G186" i="1"/>
  <c r="F187" i="1"/>
  <c r="H123" i="4"/>
  <c r="J152" i="5"/>
  <c r="H152" i="5"/>
  <c r="I152" i="5"/>
  <c r="D152" i="5"/>
  <c r="F123" i="4"/>
  <c r="E124" i="4" s="1"/>
  <c r="G123" i="4"/>
  <c r="D187" i="1"/>
  <c r="C188" i="1" s="1"/>
  <c r="E187" i="1"/>
  <c r="H187" i="1" l="1"/>
  <c r="I187" i="1"/>
  <c r="G187" i="1"/>
  <c r="F188" i="1"/>
  <c r="J123" i="4"/>
  <c r="K123" i="4"/>
  <c r="I123" i="4"/>
  <c r="H124" i="4"/>
  <c r="E152" i="5"/>
  <c r="G153" i="5"/>
  <c r="F152" i="5"/>
  <c r="D153" i="5"/>
  <c r="F124" i="4"/>
  <c r="H125" i="4" s="1"/>
  <c r="G124" i="4"/>
  <c r="E188" i="1"/>
  <c r="D188" i="1"/>
  <c r="C189" i="1" s="1"/>
  <c r="G188" i="1" l="1"/>
  <c r="I188" i="1"/>
  <c r="H188" i="1"/>
  <c r="F190" i="1"/>
  <c r="F189" i="1"/>
  <c r="K125" i="4"/>
  <c r="J125" i="4"/>
  <c r="I125" i="4"/>
  <c r="I124" i="4"/>
  <c r="K124" i="4"/>
  <c r="J124" i="4"/>
  <c r="H153" i="5"/>
  <c r="I153" i="5"/>
  <c r="J153" i="5"/>
  <c r="F153" i="5"/>
  <c r="E153" i="5"/>
  <c r="D154" i="5" s="1"/>
  <c r="E125" i="4"/>
  <c r="D189" i="1"/>
  <c r="C190" i="1" s="1"/>
  <c r="E189" i="1"/>
  <c r="I190" i="1" l="1"/>
  <c r="H190" i="1"/>
  <c r="G190" i="1"/>
  <c r="H189" i="1"/>
  <c r="I189" i="1"/>
  <c r="G189" i="1"/>
  <c r="F191" i="1"/>
  <c r="F154" i="5"/>
  <c r="E154" i="5"/>
  <c r="D155" i="5" s="1"/>
  <c r="F125" i="4"/>
  <c r="E126" i="4" s="1"/>
  <c r="G125" i="4"/>
  <c r="E190" i="1"/>
  <c r="D190" i="1"/>
  <c r="C191" i="1" s="1"/>
  <c r="H191" i="1" l="1"/>
  <c r="G191" i="1"/>
  <c r="I191" i="1"/>
  <c r="H126" i="4"/>
  <c r="F155" i="5"/>
  <c r="E155" i="5"/>
  <c r="G156" i="5" s="1"/>
  <c r="D156" i="5"/>
  <c r="G155" i="5"/>
  <c r="F126" i="4"/>
  <c r="E127" i="4" s="1"/>
  <c r="G126" i="4"/>
  <c r="D191" i="1"/>
  <c r="C192" i="1" s="1"/>
  <c r="E191" i="1"/>
  <c r="F192" i="1" l="1"/>
  <c r="K126" i="4"/>
  <c r="I126" i="4"/>
  <c r="J126" i="4"/>
  <c r="H127" i="4"/>
  <c r="J156" i="5"/>
  <c r="I156" i="5"/>
  <c r="H156" i="5"/>
  <c r="I155" i="5"/>
  <c r="J155" i="5"/>
  <c r="H155" i="5"/>
  <c r="F156" i="5"/>
  <c r="E156" i="5"/>
  <c r="G157" i="5"/>
  <c r="D157" i="5"/>
  <c r="F127" i="4"/>
  <c r="H128" i="4" s="1"/>
  <c r="G127" i="4"/>
  <c r="E192" i="1"/>
  <c r="D192" i="1"/>
  <c r="C193" i="1" s="1"/>
  <c r="F193" i="1" l="1"/>
  <c r="H192" i="1"/>
  <c r="I192" i="1"/>
  <c r="G192" i="1"/>
  <c r="I128" i="4"/>
  <c r="J128" i="4"/>
  <c r="K128" i="4"/>
  <c r="J127" i="4"/>
  <c r="K127" i="4"/>
  <c r="I127" i="4"/>
  <c r="E157" i="5"/>
  <c r="G158" i="5" s="1"/>
  <c r="F157" i="5"/>
  <c r="J157" i="5"/>
  <c r="I157" i="5"/>
  <c r="H157" i="5"/>
  <c r="E128" i="4"/>
  <c r="E193" i="1"/>
  <c r="D193" i="1"/>
  <c r="C194" i="1" s="1"/>
  <c r="F194" i="1" l="1"/>
  <c r="I193" i="1"/>
  <c r="G193" i="1"/>
  <c r="H193" i="1"/>
  <c r="J158" i="5"/>
  <c r="I158" i="5"/>
  <c r="H158" i="5"/>
  <c r="D158" i="5"/>
  <c r="F128" i="4"/>
  <c r="H129" i="4" s="1"/>
  <c r="G128" i="4"/>
  <c r="D194" i="1"/>
  <c r="C195" i="1" s="1"/>
  <c r="E194" i="1"/>
  <c r="H194" i="1" l="1"/>
  <c r="I194" i="1"/>
  <c r="G194" i="1"/>
  <c r="F195" i="1"/>
  <c r="I129" i="4"/>
  <c r="K129" i="4"/>
  <c r="J129" i="4"/>
  <c r="F158" i="5"/>
  <c r="E158" i="5"/>
  <c r="G159" i="5" s="1"/>
  <c r="E129" i="4"/>
  <c r="E195" i="1"/>
  <c r="D195" i="1"/>
  <c r="C196" i="1" s="1"/>
  <c r="H195" i="1" l="1"/>
  <c r="I195" i="1"/>
  <c r="G195" i="1"/>
  <c r="F196" i="1"/>
  <c r="H159" i="5"/>
  <c r="J159" i="5"/>
  <c r="I159" i="5"/>
  <c r="D159" i="5"/>
  <c r="F129" i="4"/>
  <c r="H130" i="4" s="1"/>
  <c r="G129" i="4"/>
  <c r="D196" i="1"/>
  <c r="C197" i="1" s="1"/>
  <c r="E196" i="1"/>
  <c r="G196" i="1" l="1"/>
  <c r="H196" i="1"/>
  <c r="I196" i="1"/>
  <c r="F197" i="1"/>
  <c r="K130" i="4"/>
  <c r="I130" i="4"/>
  <c r="J130" i="4"/>
  <c r="E159" i="5"/>
  <c r="F159" i="5"/>
  <c r="G160" i="5"/>
  <c r="D160" i="5"/>
  <c r="E130" i="4"/>
  <c r="E197" i="1"/>
  <c r="D197" i="1"/>
  <c r="C198" i="1" s="1"/>
  <c r="H197" i="1" l="1"/>
  <c r="I197" i="1"/>
  <c r="G197" i="1"/>
  <c r="F198" i="1"/>
  <c r="F130" i="4"/>
  <c r="H131" i="4" s="1"/>
  <c r="H160" i="5"/>
  <c r="J160" i="5"/>
  <c r="I160" i="5"/>
  <c r="F160" i="5"/>
  <c r="E160" i="5"/>
  <c r="G161" i="5" s="1"/>
  <c r="G130" i="4"/>
  <c r="D198" i="1"/>
  <c r="C199" i="1" s="1"/>
  <c r="E198" i="1"/>
  <c r="I198" i="1" l="1"/>
  <c r="G198" i="1"/>
  <c r="H198" i="1"/>
  <c r="F199" i="1"/>
  <c r="E131" i="4"/>
  <c r="G131" i="4" s="1"/>
  <c r="J131" i="4"/>
  <c r="I131" i="4"/>
  <c r="K131" i="4"/>
  <c r="I161" i="5"/>
  <c r="J161" i="5"/>
  <c r="H161" i="5"/>
  <c r="D161" i="5"/>
  <c r="E199" i="1"/>
  <c r="D199" i="1"/>
  <c r="C200" i="1" s="1"/>
  <c r="I199" i="1" l="1"/>
  <c r="G199" i="1"/>
  <c r="H199" i="1"/>
  <c r="F200" i="1"/>
  <c r="F131" i="4"/>
  <c r="E132" i="4" s="1"/>
  <c r="G132" i="4" s="1"/>
  <c r="F161" i="5"/>
  <c r="E161" i="5"/>
  <c r="G162" i="5" s="1"/>
  <c r="E200" i="1"/>
  <c r="D200" i="1"/>
  <c r="C201" i="1" s="1"/>
  <c r="H200" i="1" l="1"/>
  <c r="I200" i="1"/>
  <c r="G200" i="1"/>
  <c r="F201" i="1"/>
  <c r="F132" i="4"/>
  <c r="H133" i="4" s="1"/>
  <c r="I133" i="4" s="1"/>
  <c r="H132" i="4"/>
  <c r="I132" i="4" s="1"/>
  <c r="J162" i="5"/>
  <c r="H162" i="5"/>
  <c r="I162" i="5"/>
  <c r="D162" i="5"/>
  <c r="E201" i="1"/>
  <c r="D201" i="1"/>
  <c r="C202" i="1" s="1"/>
  <c r="I201" i="1" l="1"/>
  <c r="H201" i="1"/>
  <c r="G201" i="1"/>
  <c r="F202" i="1"/>
  <c r="J132" i="4"/>
  <c r="K132" i="4"/>
  <c r="J133" i="4"/>
  <c r="K133" i="4"/>
  <c r="E133" i="4"/>
  <c r="F133" i="4" s="1"/>
  <c r="E134" i="4" s="1"/>
  <c r="F162" i="5"/>
  <c r="E162" i="5"/>
  <c r="D163" i="5" s="1"/>
  <c r="D202" i="1"/>
  <c r="C203" i="1" s="1"/>
  <c r="E202" i="1"/>
  <c r="H202" i="1" l="1"/>
  <c r="I202" i="1"/>
  <c r="G202" i="1"/>
  <c r="F203" i="1"/>
  <c r="G133" i="4"/>
  <c r="H134" i="4"/>
  <c r="F163" i="5"/>
  <c r="E163" i="5"/>
  <c r="D164" i="5" s="1"/>
  <c r="G163" i="5"/>
  <c r="F134" i="4"/>
  <c r="E135" i="4" s="1"/>
  <c r="G134" i="4"/>
  <c r="D203" i="1"/>
  <c r="C204" i="1" s="1"/>
  <c r="E203" i="1"/>
  <c r="F204" i="1" l="1"/>
  <c r="H203" i="1"/>
  <c r="I203" i="1"/>
  <c r="G203" i="1"/>
  <c r="K134" i="4"/>
  <c r="I134" i="4"/>
  <c r="J134" i="4"/>
  <c r="H135" i="4"/>
  <c r="E164" i="5"/>
  <c r="G165" i="5" s="1"/>
  <c r="F164" i="5"/>
  <c r="D165" i="5"/>
  <c r="I163" i="5"/>
  <c r="J163" i="5"/>
  <c r="H163" i="5"/>
  <c r="G164" i="5"/>
  <c r="F135" i="4"/>
  <c r="H136" i="4" s="1"/>
  <c r="G135" i="4"/>
  <c r="E204" i="1"/>
  <c r="D204" i="1"/>
  <c r="C205" i="1" s="1"/>
  <c r="F205" i="1" l="1"/>
  <c r="G204" i="1"/>
  <c r="I204" i="1"/>
  <c r="H204" i="1"/>
  <c r="I136" i="4"/>
  <c r="J136" i="4"/>
  <c r="K136" i="4"/>
  <c r="J135" i="4"/>
  <c r="K135" i="4"/>
  <c r="I135" i="4"/>
  <c r="J164" i="5"/>
  <c r="I164" i="5"/>
  <c r="H164" i="5"/>
  <c r="H165" i="5"/>
  <c r="J165" i="5"/>
  <c r="I165" i="5"/>
  <c r="E165" i="5"/>
  <c r="G166" i="5" s="1"/>
  <c r="F165" i="5"/>
  <c r="E136" i="4"/>
  <c r="D205" i="1"/>
  <c r="C206" i="1" s="1"/>
  <c r="E205" i="1"/>
  <c r="H205" i="1" l="1"/>
  <c r="I205" i="1"/>
  <c r="G205" i="1"/>
  <c r="F206" i="1"/>
  <c r="J166" i="5"/>
  <c r="I166" i="5"/>
  <c r="H166" i="5"/>
  <c r="D166" i="5"/>
  <c r="F136" i="4"/>
  <c r="H137" i="4" s="1"/>
  <c r="G136" i="4"/>
  <c r="E206" i="1"/>
  <c r="D206" i="1"/>
  <c r="C207" i="1" s="1"/>
  <c r="I206" i="1" l="1"/>
  <c r="H206" i="1"/>
  <c r="G206" i="1"/>
  <c r="F207" i="1"/>
  <c r="I137" i="4"/>
  <c r="K137" i="4"/>
  <c r="J137" i="4"/>
  <c r="F166" i="5"/>
  <c r="E166" i="5"/>
  <c r="G167" i="5" s="1"/>
  <c r="E137" i="4"/>
  <c r="E207" i="1"/>
  <c r="D207" i="1"/>
  <c r="C208" i="1" s="1"/>
  <c r="H207" i="1" l="1"/>
  <c r="G207" i="1"/>
  <c r="I207" i="1"/>
  <c r="F208" i="1"/>
  <c r="J167" i="5"/>
  <c r="H167" i="5"/>
  <c r="I167" i="5"/>
  <c r="D167" i="5"/>
  <c r="F137" i="4"/>
  <c r="E138" i="4" s="1"/>
  <c r="G137" i="4"/>
  <c r="D208" i="1"/>
  <c r="C209" i="1" s="1"/>
  <c r="E208" i="1"/>
  <c r="H208" i="1" l="1"/>
  <c r="I208" i="1"/>
  <c r="G208" i="1"/>
  <c r="F209" i="1"/>
  <c r="H138" i="4"/>
  <c r="E167" i="5"/>
  <c r="G168" i="5"/>
  <c r="F167" i="5"/>
  <c r="D168" i="5"/>
  <c r="F138" i="4"/>
  <c r="E139" i="4" s="1"/>
  <c r="G138" i="4"/>
  <c r="D209" i="1"/>
  <c r="C210" i="1" s="1"/>
  <c r="E209" i="1"/>
  <c r="I209" i="1" l="1"/>
  <c r="G209" i="1"/>
  <c r="H209" i="1"/>
  <c r="F210" i="1"/>
  <c r="K138" i="4"/>
  <c r="J138" i="4"/>
  <c r="I138" i="4"/>
  <c r="H139" i="4"/>
  <c r="H168" i="5"/>
  <c r="I168" i="5"/>
  <c r="J168" i="5"/>
  <c r="F168" i="5"/>
  <c r="E168" i="5"/>
  <c r="G169" i="5" s="1"/>
  <c r="F139" i="4"/>
  <c r="H140" i="4" s="1"/>
  <c r="G139" i="4"/>
  <c r="E210" i="1"/>
  <c r="D210" i="1"/>
  <c r="C211" i="1" s="1"/>
  <c r="F211" i="1" l="1"/>
  <c r="H211" i="1" s="1"/>
  <c r="H210" i="1"/>
  <c r="I210" i="1"/>
  <c r="G210" i="1"/>
  <c r="I211" i="1"/>
  <c r="I140" i="4"/>
  <c r="J140" i="4"/>
  <c r="K140" i="4"/>
  <c r="J139" i="4"/>
  <c r="I139" i="4"/>
  <c r="K139" i="4"/>
  <c r="I169" i="5"/>
  <c r="J169" i="5"/>
  <c r="H169" i="5"/>
  <c r="D169" i="5"/>
  <c r="E140" i="4"/>
  <c r="D211" i="1"/>
  <c r="C212" i="1" s="1"/>
  <c r="E211" i="1"/>
  <c r="G211" i="1" l="1"/>
  <c r="F212" i="1"/>
  <c r="F169" i="5"/>
  <c r="E169" i="5"/>
  <c r="D170" i="5" s="1"/>
  <c r="F140" i="4"/>
  <c r="H141" i="4" s="1"/>
  <c r="G140" i="4"/>
  <c r="D212" i="1"/>
  <c r="C213" i="1" s="1"/>
  <c r="E212" i="1"/>
  <c r="G212" i="1" l="1"/>
  <c r="H212" i="1"/>
  <c r="I212" i="1"/>
  <c r="F213" i="1"/>
  <c r="K141" i="4"/>
  <c r="I141" i="4"/>
  <c r="J141" i="4"/>
  <c r="E170" i="5"/>
  <c r="G171" i="5"/>
  <c r="F170" i="5"/>
  <c r="D171" i="5"/>
  <c r="G170" i="5"/>
  <c r="E141" i="4"/>
  <c r="E213" i="1"/>
  <c r="D213" i="1"/>
  <c r="C214" i="1" s="1"/>
  <c r="F214" i="1" l="1"/>
  <c r="H213" i="1"/>
  <c r="G213" i="1"/>
  <c r="I213" i="1"/>
  <c r="J170" i="5"/>
  <c r="H170" i="5"/>
  <c r="I170" i="5"/>
  <c r="F171" i="5"/>
  <c r="E171" i="5"/>
  <c r="G172" i="5" s="1"/>
  <c r="I171" i="5"/>
  <c r="H171" i="5"/>
  <c r="J171" i="5"/>
  <c r="F141" i="4"/>
  <c r="H142" i="4" s="1"/>
  <c r="G141" i="4"/>
  <c r="D214" i="1"/>
  <c r="C215" i="1" s="1"/>
  <c r="E214" i="1"/>
  <c r="F215" i="1" l="1"/>
  <c r="I214" i="1"/>
  <c r="G214" i="1"/>
  <c r="H214" i="1"/>
  <c r="D172" i="5"/>
  <c r="K142" i="4"/>
  <c r="I142" i="4"/>
  <c r="J142" i="4"/>
  <c r="J172" i="5"/>
  <c r="H172" i="5"/>
  <c r="I172" i="5"/>
  <c r="E172" i="5"/>
  <c r="G173" i="5" s="1"/>
  <c r="F172" i="5"/>
  <c r="E142" i="4"/>
  <c r="D215" i="1"/>
  <c r="C216" i="1" s="1"/>
  <c r="E215" i="1"/>
  <c r="I215" i="1" l="1"/>
  <c r="G215" i="1"/>
  <c r="H215" i="1"/>
  <c r="F216" i="1"/>
  <c r="D173" i="5"/>
  <c r="I173" i="5"/>
  <c r="J173" i="5"/>
  <c r="H173" i="5"/>
  <c r="E173" i="5"/>
  <c r="D174" i="5" s="1"/>
  <c r="F173" i="5"/>
  <c r="F142" i="4"/>
  <c r="E143" i="4" s="1"/>
  <c r="G142" i="4"/>
  <c r="E216" i="1"/>
  <c r="D216" i="1"/>
  <c r="C217" i="1" s="1"/>
  <c r="H216" i="1" l="1"/>
  <c r="I216" i="1"/>
  <c r="G216" i="1"/>
  <c r="F217" i="1"/>
  <c r="G174" i="5"/>
  <c r="H143" i="4"/>
  <c r="J174" i="5"/>
  <c r="I174" i="5"/>
  <c r="H174" i="5"/>
  <c r="F174" i="5"/>
  <c r="E174" i="5"/>
  <c r="G175" i="5" s="1"/>
  <c r="D175" i="5"/>
  <c r="F143" i="4"/>
  <c r="H144" i="4" s="1"/>
  <c r="G143" i="4"/>
  <c r="D217" i="1"/>
  <c r="C218" i="1" s="1"/>
  <c r="E217" i="1"/>
  <c r="F218" i="1" l="1"/>
  <c r="I217" i="1"/>
  <c r="H217" i="1"/>
  <c r="G217" i="1"/>
  <c r="I144" i="4"/>
  <c r="J144" i="4"/>
  <c r="K144" i="4"/>
  <c r="J143" i="4"/>
  <c r="K143" i="4"/>
  <c r="I143" i="4"/>
  <c r="I175" i="5"/>
  <c r="H175" i="5"/>
  <c r="J175" i="5"/>
  <c r="E175" i="5"/>
  <c r="F175" i="5"/>
  <c r="G176" i="5"/>
  <c r="D176" i="5"/>
  <c r="E144" i="4"/>
  <c r="D218" i="1"/>
  <c r="C219" i="1" s="1"/>
  <c r="E218" i="1"/>
  <c r="F219" i="1" l="1"/>
  <c r="H218" i="1"/>
  <c r="I218" i="1"/>
  <c r="G218" i="1"/>
  <c r="F176" i="5"/>
  <c r="E176" i="5"/>
  <c r="G177" i="5" s="1"/>
  <c r="H176" i="5"/>
  <c r="J176" i="5"/>
  <c r="I176" i="5"/>
  <c r="F144" i="4"/>
  <c r="E145" i="4" s="1"/>
  <c r="G144" i="4"/>
  <c r="E219" i="1"/>
  <c r="D219" i="1"/>
  <c r="C220" i="1" s="1"/>
  <c r="F220" i="1" l="1"/>
  <c r="H219" i="1"/>
  <c r="I219" i="1"/>
  <c r="G219" i="1"/>
  <c r="H145" i="4"/>
  <c r="I177" i="5"/>
  <c r="H177" i="5"/>
  <c r="J177" i="5"/>
  <c r="D177" i="5"/>
  <c r="F145" i="4"/>
  <c r="H146" i="4" s="1"/>
  <c r="G145" i="4"/>
  <c r="D220" i="1"/>
  <c r="C221" i="1" s="1"/>
  <c r="E220" i="1"/>
  <c r="G220" i="1" l="1"/>
  <c r="I220" i="1"/>
  <c r="H220" i="1"/>
  <c r="F221" i="1"/>
  <c r="K146" i="4"/>
  <c r="I146" i="4"/>
  <c r="J146" i="4"/>
  <c r="I145" i="4"/>
  <c r="K145" i="4"/>
  <c r="J145" i="4"/>
  <c r="E177" i="5"/>
  <c r="D178" i="5" s="1"/>
  <c r="F177" i="5"/>
  <c r="E146" i="4"/>
  <c r="E221" i="1"/>
  <c r="D221" i="1"/>
  <c r="C222" i="1" s="1"/>
  <c r="H221" i="1" l="1"/>
  <c r="I221" i="1"/>
  <c r="G221" i="1"/>
  <c r="F222" i="1"/>
  <c r="G178" i="5"/>
  <c r="J178" i="5"/>
  <c r="H178" i="5"/>
  <c r="I178" i="5"/>
  <c r="F178" i="5"/>
  <c r="E178" i="5"/>
  <c r="G179" i="5" s="1"/>
  <c r="F146" i="4"/>
  <c r="H147" i="4" s="1"/>
  <c r="G146" i="4"/>
  <c r="E222" i="1"/>
  <c r="D222" i="1"/>
  <c r="C223" i="1" s="1"/>
  <c r="I222" i="1" l="1"/>
  <c r="H222" i="1"/>
  <c r="G222" i="1"/>
  <c r="F223" i="1"/>
  <c r="J147" i="4"/>
  <c r="K147" i="4"/>
  <c r="I147" i="4"/>
  <c r="I179" i="5"/>
  <c r="J179" i="5"/>
  <c r="H179" i="5"/>
  <c r="D179" i="5"/>
  <c r="E147" i="4"/>
  <c r="E223" i="1"/>
  <c r="D223" i="1"/>
  <c r="C224" i="1" s="1"/>
  <c r="H223" i="1" l="1"/>
  <c r="G223" i="1"/>
  <c r="I223" i="1"/>
  <c r="F224" i="1"/>
  <c r="F179" i="5"/>
  <c r="E179" i="5"/>
  <c r="G180" i="5" s="1"/>
  <c r="F147" i="4"/>
  <c r="E148" i="4" s="1"/>
  <c r="G147" i="4"/>
  <c r="E224" i="1"/>
  <c r="D224" i="1"/>
  <c r="C225" i="1" s="1"/>
  <c r="H224" i="1" l="1"/>
  <c r="I224" i="1"/>
  <c r="G224" i="1"/>
  <c r="F225" i="1"/>
  <c r="H148" i="4"/>
  <c r="J180" i="5"/>
  <c r="H180" i="5"/>
  <c r="I180" i="5"/>
  <c r="D180" i="5"/>
  <c r="F148" i="4"/>
  <c r="E149" i="4" s="1"/>
  <c r="G148" i="4"/>
  <c r="D225" i="1"/>
  <c r="C226" i="1" s="1"/>
  <c r="E225" i="1"/>
  <c r="I225" i="1" l="1"/>
  <c r="G225" i="1"/>
  <c r="H225" i="1"/>
  <c r="F226" i="1"/>
  <c r="I148" i="4"/>
  <c r="J148" i="4"/>
  <c r="K148" i="4"/>
  <c r="H149" i="4"/>
  <c r="F180" i="5"/>
  <c r="E180" i="5"/>
  <c r="G181" i="5" s="1"/>
  <c r="D181" i="5"/>
  <c r="F149" i="4"/>
  <c r="H150" i="4" s="1"/>
  <c r="G149" i="4"/>
  <c r="D226" i="1"/>
  <c r="C227" i="1" s="1"/>
  <c r="E226" i="1"/>
  <c r="H226" i="1" l="1"/>
  <c r="I226" i="1"/>
  <c r="G226" i="1"/>
  <c r="F227" i="1"/>
  <c r="K150" i="4"/>
  <c r="J150" i="4"/>
  <c r="I150" i="4"/>
  <c r="K149" i="4"/>
  <c r="I149" i="4"/>
  <c r="J149" i="4"/>
  <c r="I181" i="5"/>
  <c r="J181" i="5"/>
  <c r="H181" i="5"/>
  <c r="E181" i="5"/>
  <c r="G182" i="5"/>
  <c r="F181" i="5"/>
  <c r="D182" i="5"/>
  <c r="E150" i="4"/>
  <c r="E227" i="1"/>
  <c r="D227" i="1"/>
  <c r="C228" i="1" s="1"/>
  <c r="H227" i="1" l="1"/>
  <c r="I227" i="1"/>
  <c r="G227" i="1"/>
  <c r="F228" i="1"/>
  <c r="J182" i="5"/>
  <c r="H182" i="5"/>
  <c r="I182" i="5"/>
  <c r="F182" i="5"/>
  <c r="E182" i="5"/>
  <c r="G183" i="5" s="1"/>
  <c r="F150" i="4"/>
  <c r="H151" i="4" s="1"/>
  <c r="G150" i="4"/>
  <c r="E228" i="1"/>
  <c r="D228" i="1"/>
  <c r="C229" i="1" s="1"/>
  <c r="G228" i="1" l="1"/>
  <c r="H228" i="1"/>
  <c r="I228" i="1"/>
  <c r="F229" i="1"/>
  <c r="J151" i="4"/>
  <c r="K151" i="4"/>
  <c r="I151" i="4"/>
  <c r="J183" i="5"/>
  <c r="I183" i="5"/>
  <c r="H183" i="5"/>
  <c r="D183" i="5"/>
  <c r="E151" i="4"/>
  <c r="E229" i="1"/>
  <c r="D229" i="1"/>
  <c r="C230" i="1" s="1"/>
  <c r="H229" i="1" l="1"/>
  <c r="G229" i="1"/>
  <c r="I229" i="1"/>
  <c r="F230" i="1"/>
  <c r="E183" i="5"/>
  <c r="G184" i="5"/>
  <c r="F183" i="5"/>
  <c r="D184" i="5"/>
  <c r="F151" i="4"/>
  <c r="E152" i="4" s="1"/>
  <c r="G151" i="4"/>
  <c r="D230" i="1"/>
  <c r="C231" i="1" s="1"/>
  <c r="E230" i="1"/>
  <c r="I230" i="1" l="1"/>
  <c r="G230" i="1"/>
  <c r="H230" i="1"/>
  <c r="F231" i="1"/>
  <c r="H152" i="4"/>
  <c r="H184" i="5"/>
  <c r="J184" i="5"/>
  <c r="I184" i="5"/>
  <c r="F184" i="5"/>
  <c r="E184" i="5"/>
  <c r="G185" i="5" s="1"/>
  <c r="D185" i="5"/>
  <c r="F152" i="4"/>
  <c r="H153" i="4" s="1"/>
  <c r="G152" i="4"/>
  <c r="D231" i="1"/>
  <c r="C232" i="1" s="1"/>
  <c r="E231" i="1"/>
  <c r="F232" i="1" l="1"/>
  <c r="I231" i="1"/>
  <c r="G231" i="1"/>
  <c r="H231" i="1"/>
  <c r="I153" i="4"/>
  <c r="K153" i="4"/>
  <c r="J153" i="4"/>
  <c r="I152" i="4"/>
  <c r="J152" i="4"/>
  <c r="K152" i="4"/>
  <c r="I185" i="5"/>
  <c r="J185" i="5"/>
  <c r="H185" i="5"/>
  <c r="E185" i="5"/>
  <c r="G186" i="5" s="1"/>
  <c r="F185" i="5"/>
  <c r="D186" i="5"/>
  <c r="E153" i="4"/>
  <c r="E232" i="1"/>
  <c r="D232" i="1"/>
  <c r="C233" i="1" s="1"/>
  <c r="H232" i="1" l="1"/>
  <c r="I232" i="1"/>
  <c r="G232" i="1"/>
  <c r="F233" i="1"/>
  <c r="J186" i="5"/>
  <c r="H186" i="5"/>
  <c r="I186" i="5"/>
  <c r="F186" i="5"/>
  <c r="E186" i="5"/>
  <c r="G187" i="5" s="1"/>
  <c r="F153" i="4"/>
  <c r="E154" i="4" s="1"/>
  <c r="G153" i="4"/>
  <c r="E233" i="1"/>
  <c r="D233" i="1"/>
  <c r="C234" i="1" s="1"/>
  <c r="I233" i="1" l="1"/>
  <c r="H233" i="1"/>
  <c r="G233" i="1"/>
  <c r="F234" i="1"/>
  <c r="F154" i="4"/>
  <c r="H155" i="4" s="1"/>
  <c r="H154" i="4"/>
  <c r="I187" i="5"/>
  <c r="J187" i="5"/>
  <c r="H187" i="5"/>
  <c r="D187" i="5"/>
  <c r="G154" i="4"/>
  <c r="E234" i="1"/>
  <c r="D234" i="1"/>
  <c r="C235" i="1" s="1"/>
  <c r="H234" i="1" l="1"/>
  <c r="I234" i="1"/>
  <c r="G234" i="1"/>
  <c r="F235" i="1"/>
  <c r="E155" i="4"/>
  <c r="F155" i="4" s="1"/>
  <c r="E156" i="4" s="1"/>
  <c r="J155" i="4"/>
  <c r="I155" i="4"/>
  <c r="K155" i="4"/>
  <c r="K154" i="4"/>
  <c r="I154" i="4"/>
  <c r="J154" i="4"/>
  <c r="F187" i="5"/>
  <c r="E187" i="5"/>
  <c r="G188" i="5" s="1"/>
  <c r="D188" i="5"/>
  <c r="E235" i="1"/>
  <c r="D235" i="1"/>
  <c r="C236" i="1" s="1"/>
  <c r="H235" i="1" l="1"/>
  <c r="I235" i="1"/>
  <c r="G235" i="1"/>
  <c r="F236" i="1"/>
  <c r="G155" i="4"/>
  <c r="H156" i="4"/>
  <c r="J188" i="5"/>
  <c r="H188" i="5"/>
  <c r="I188" i="5"/>
  <c r="E188" i="5"/>
  <c r="D189" i="5" s="1"/>
  <c r="F188" i="5"/>
  <c r="F156" i="4"/>
  <c r="H157" i="4" s="1"/>
  <c r="G156" i="4"/>
  <c r="E236" i="1"/>
  <c r="D236" i="1"/>
  <c r="C237" i="1" s="1"/>
  <c r="G236" i="1" l="1"/>
  <c r="I236" i="1"/>
  <c r="H236" i="1"/>
  <c r="F237" i="1"/>
  <c r="G189" i="5"/>
  <c r="K157" i="4"/>
  <c r="I157" i="4"/>
  <c r="J157" i="4"/>
  <c r="I156" i="4"/>
  <c r="K156" i="4"/>
  <c r="J156" i="4"/>
  <c r="I189" i="5"/>
  <c r="J189" i="5"/>
  <c r="H189" i="5"/>
  <c r="E189" i="5"/>
  <c r="F189" i="5"/>
  <c r="G190" i="5"/>
  <c r="D190" i="5"/>
  <c r="E157" i="4"/>
  <c r="D237" i="1"/>
  <c r="C238" i="1" s="1"/>
  <c r="E237" i="1"/>
  <c r="H237" i="1" l="1"/>
  <c r="I237" i="1"/>
  <c r="G237" i="1"/>
  <c r="F238" i="1"/>
  <c r="F190" i="5"/>
  <c r="E190" i="5"/>
  <c r="G191" i="5" s="1"/>
  <c r="J190" i="5"/>
  <c r="I190" i="5"/>
  <c r="H190" i="5"/>
  <c r="F157" i="4"/>
  <c r="H158" i="4" s="1"/>
  <c r="G157" i="4"/>
  <c r="D238" i="1"/>
  <c r="C239" i="1" s="1"/>
  <c r="E238" i="1"/>
  <c r="I238" i="1" l="1"/>
  <c r="H238" i="1"/>
  <c r="G238" i="1"/>
  <c r="F239" i="1"/>
  <c r="K158" i="4"/>
  <c r="I158" i="4"/>
  <c r="J158" i="4"/>
  <c r="E158" i="4"/>
  <c r="I191" i="5"/>
  <c r="H191" i="5"/>
  <c r="J191" i="5"/>
  <c r="D191" i="5"/>
  <c r="E239" i="1"/>
  <c r="D239" i="1"/>
  <c r="C240" i="1" s="1"/>
  <c r="H239" i="1" l="1"/>
  <c r="G239" i="1"/>
  <c r="I239" i="1"/>
  <c r="F240" i="1"/>
  <c r="G158" i="4"/>
  <c r="F158" i="4"/>
  <c r="E159" i="4" s="1"/>
  <c r="F159" i="4" s="1"/>
  <c r="E191" i="5"/>
  <c r="G192" i="5" s="1"/>
  <c r="F191" i="5"/>
  <c r="D192" i="5"/>
  <c r="E240" i="1"/>
  <c r="D240" i="1"/>
  <c r="C241" i="1" s="1"/>
  <c r="H240" i="1" l="1"/>
  <c r="I240" i="1"/>
  <c r="G240" i="1"/>
  <c r="F241" i="1"/>
  <c r="G159" i="4"/>
  <c r="H160" i="4"/>
  <c r="H159" i="4"/>
  <c r="I192" i="5"/>
  <c r="J192" i="5"/>
  <c r="H192" i="5"/>
  <c r="E192" i="5"/>
  <c r="D193" i="5" s="1"/>
  <c r="F192" i="5"/>
  <c r="E160" i="4"/>
  <c r="E241" i="1"/>
  <c r="D241" i="1"/>
  <c r="C242" i="1" s="1"/>
  <c r="I241" i="1" l="1"/>
  <c r="G241" i="1"/>
  <c r="H241" i="1"/>
  <c r="F242" i="1"/>
  <c r="G193" i="5"/>
  <c r="J159" i="4"/>
  <c r="K159" i="4"/>
  <c r="I159" i="4"/>
  <c r="I160" i="4"/>
  <c r="J160" i="4"/>
  <c r="K160" i="4"/>
  <c r="I193" i="5"/>
  <c r="J193" i="5"/>
  <c r="H193" i="5"/>
  <c r="F193" i="5"/>
  <c r="E193" i="5"/>
  <c r="G194" i="5" s="1"/>
  <c r="F160" i="4"/>
  <c r="H161" i="4" s="1"/>
  <c r="G160" i="4"/>
  <c r="E242" i="1"/>
  <c r="D242" i="1"/>
  <c r="C243" i="1" s="1"/>
  <c r="H242" i="1" l="1"/>
  <c r="I242" i="1"/>
  <c r="G242" i="1"/>
  <c r="F243" i="1"/>
  <c r="I161" i="4"/>
  <c r="K161" i="4"/>
  <c r="J161" i="4"/>
  <c r="I194" i="5"/>
  <c r="J194" i="5"/>
  <c r="H194" i="5"/>
  <c r="D194" i="5"/>
  <c r="E161" i="4"/>
  <c r="E243" i="1"/>
  <c r="D243" i="1"/>
  <c r="C244" i="1" s="1"/>
  <c r="H243" i="1" l="1"/>
  <c r="I243" i="1"/>
  <c r="G243" i="1"/>
  <c r="F244" i="1"/>
  <c r="E194" i="5"/>
  <c r="F194" i="5"/>
  <c r="G195" i="5"/>
  <c r="D195" i="5"/>
  <c r="F161" i="4"/>
  <c r="E162" i="4" s="1"/>
  <c r="G161" i="4"/>
  <c r="E244" i="1"/>
  <c r="D244" i="1"/>
  <c r="C245" i="1" s="1"/>
  <c r="G244" i="1" l="1"/>
  <c r="H244" i="1"/>
  <c r="I244" i="1"/>
  <c r="F245" i="1"/>
  <c r="H162" i="4"/>
  <c r="H195" i="5"/>
  <c r="I195" i="5"/>
  <c r="J195" i="5"/>
  <c r="F195" i="5"/>
  <c r="E195" i="5"/>
  <c r="G196" i="5" s="1"/>
  <c r="F162" i="4"/>
  <c r="H163" i="4" s="1"/>
  <c r="G162" i="4"/>
  <c r="D245" i="1"/>
  <c r="C246" i="1" s="1"/>
  <c r="E245" i="1"/>
  <c r="F246" i="1" l="1"/>
  <c r="H245" i="1"/>
  <c r="G245" i="1"/>
  <c r="I245" i="1"/>
  <c r="J163" i="4"/>
  <c r="K163" i="4"/>
  <c r="I163" i="4"/>
  <c r="K162" i="4"/>
  <c r="I162" i="4"/>
  <c r="J162" i="4"/>
  <c r="I196" i="5"/>
  <c r="J196" i="5"/>
  <c r="H196" i="5"/>
  <c r="D196" i="5"/>
  <c r="E163" i="4"/>
  <c r="D246" i="1"/>
  <c r="C247" i="1" s="1"/>
  <c r="E246" i="1"/>
  <c r="I246" i="1" l="1"/>
  <c r="G246" i="1"/>
  <c r="H246" i="1"/>
  <c r="F247" i="1"/>
  <c r="F196" i="5"/>
  <c r="E196" i="5"/>
  <c r="G197" i="5" s="1"/>
  <c r="F163" i="4"/>
  <c r="H164" i="4" s="1"/>
  <c r="G163" i="4"/>
  <c r="E247" i="1"/>
  <c r="D247" i="1"/>
  <c r="C248" i="1" s="1"/>
  <c r="F248" i="1" l="1"/>
  <c r="I247" i="1"/>
  <c r="G247" i="1"/>
  <c r="H247" i="1"/>
  <c r="H248" i="1"/>
  <c r="I248" i="1"/>
  <c r="G248" i="1"/>
  <c r="F249" i="1"/>
  <c r="D197" i="5"/>
  <c r="I164" i="4"/>
  <c r="J164" i="4"/>
  <c r="K164" i="4"/>
  <c r="J197" i="5"/>
  <c r="H197" i="5"/>
  <c r="I197" i="5"/>
  <c r="F197" i="5"/>
  <c r="E197" i="5"/>
  <c r="G198" i="5" s="1"/>
  <c r="E164" i="4"/>
  <c r="D248" i="1"/>
  <c r="C249" i="1" s="1"/>
  <c r="E248" i="1"/>
  <c r="I249" i="1" l="1"/>
  <c r="H249" i="1"/>
  <c r="G249" i="1"/>
  <c r="I198" i="5"/>
  <c r="H198" i="5"/>
  <c r="J198" i="5"/>
  <c r="D198" i="5"/>
  <c r="F164" i="4"/>
  <c r="E165" i="4" s="1"/>
  <c r="G164" i="4"/>
  <c r="D249" i="1"/>
  <c r="C250" i="1" s="1"/>
  <c r="E249" i="1"/>
  <c r="F250" i="1" l="1"/>
  <c r="H165" i="4"/>
  <c r="F198" i="5"/>
  <c r="E198" i="5"/>
  <c r="G199" i="5" s="1"/>
  <c r="D199" i="5"/>
  <c r="F165" i="4"/>
  <c r="H166" i="4" s="1"/>
  <c r="G165" i="4"/>
  <c r="E250" i="1"/>
  <c r="D250" i="1"/>
  <c r="C251" i="1" s="1"/>
  <c r="H250" i="1" l="1"/>
  <c r="I250" i="1"/>
  <c r="G250" i="1"/>
  <c r="F251" i="1"/>
  <c r="K166" i="4"/>
  <c r="I166" i="4"/>
  <c r="J166" i="4"/>
  <c r="K165" i="4"/>
  <c r="I165" i="4"/>
  <c r="J165" i="4"/>
  <c r="J199" i="5"/>
  <c r="I199" i="5"/>
  <c r="H199" i="5"/>
  <c r="F199" i="5"/>
  <c r="E199" i="5"/>
  <c r="G200" i="5" s="1"/>
  <c r="D200" i="5"/>
  <c r="E166" i="4"/>
  <c r="D251" i="1"/>
  <c r="C252" i="1" s="1"/>
  <c r="E251" i="1"/>
  <c r="H251" i="1" l="1"/>
  <c r="I251" i="1"/>
  <c r="G251" i="1"/>
  <c r="F252" i="1"/>
  <c r="J200" i="5"/>
  <c r="H200" i="5"/>
  <c r="I200" i="5"/>
  <c r="E200" i="5"/>
  <c r="G201" i="5"/>
  <c r="F200" i="5"/>
  <c r="D201" i="5"/>
  <c r="F166" i="4"/>
  <c r="H167" i="4" s="1"/>
  <c r="G166" i="4"/>
  <c r="D252" i="1"/>
  <c r="C253" i="1" s="1"/>
  <c r="E252" i="1"/>
  <c r="G252" i="1" l="1"/>
  <c r="I252" i="1"/>
  <c r="H252" i="1"/>
  <c r="F253" i="1"/>
  <c r="J167" i="4"/>
  <c r="K167" i="4"/>
  <c r="I167" i="4"/>
  <c r="H201" i="5"/>
  <c r="J201" i="5"/>
  <c r="I201" i="5"/>
  <c r="F201" i="5"/>
  <c r="E201" i="5"/>
  <c r="G202" i="5" s="1"/>
  <c r="E167" i="4"/>
  <c r="E253" i="1"/>
  <c r="D253" i="1"/>
  <c r="C254" i="1" s="1"/>
  <c r="H253" i="1" l="1"/>
  <c r="I253" i="1"/>
  <c r="G253" i="1"/>
  <c r="F254" i="1"/>
  <c r="D202" i="5"/>
  <c r="J202" i="5"/>
  <c r="H202" i="5"/>
  <c r="I202" i="5"/>
  <c r="E202" i="5"/>
  <c r="G203" i="5" s="1"/>
  <c r="F202" i="5"/>
  <c r="F167" i="4"/>
  <c r="E168" i="4" s="1"/>
  <c r="G167" i="4"/>
  <c r="E254" i="1"/>
  <c r="D254" i="1"/>
  <c r="C255" i="1" s="1"/>
  <c r="I254" i="1" l="1"/>
  <c r="H254" i="1"/>
  <c r="G254" i="1"/>
  <c r="F255" i="1"/>
  <c r="D203" i="5"/>
  <c r="H168" i="4"/>
  <c r="H203" i="5"/>
  <c r="I203" i="5"/>
  <c r="J203" i="5"/>
  <c r="F203" i="5"/>
  <c r="E203" i="5"/>
  <c r="G204" i="5" s="1"/>
  <c r="F168" i="4"/>
  <c r="H169" i="4" s="1"/>
  <c r="G168" i="4"/>
  <c r="E255" i="1"/>
  <c r="D255" i="1"/>
  <c r="C256" i="1" s="1"/>
  <c r="H255" i="1" l="1"/>
  <c r="G255" i="1"/>
  <c r="I255" i="1"/>
  <c r="F256" i="1"/>
  <c r="D204" i="5"/>
  <c r="I169" i="4"/>
  <c r="K169" i="4"/>
  <c r="J169" i="4"/>
  <c r="I168" i="4"/>
  <c r="J168" i="4"/>
  <c r="K168" i="4"/>
  <c r="I204" i="5"/>
  <c r="J204" i="5"/>
  <c r="H204" i="5"/>
  <c r="F204" i="5"/>
  <c r="E204" i="5"/>
  <c r="G205" i="5" s="1"/>
  <c r="E169" i="4"/>
  <c r="D256" i="1"/>
  <c r="C257" i="1" s="1"/>
  <c r="E256" i="1"/>
  <c r="H256" i="1" l="1"/>
  <c r="I256" i="1"/>
  <c r="G256" i="1"/>
  <c r="F257" i="1"/>
  <c r="J205" i="5"/>
  <c r="H205" i="5"/>
  <c r="I205" i="5"/>
  <c r="D205" i="5"/>
  <c r="F169" i="4"/>
  <c r="H170" i="4" s="1"/>
  <c r="G169" i="4"/>
  <c r="E257" i="1"/>
  <c r="D257" i="1"/>
  <c r="C258" i="1" s="1"/>
  <c r="I257" i="1" l="1"/>
  <c r="G257" i="1"/>
  <c r="H257" i="1"/>
  <c r="F258" i="1"/>
  <c r="K170" i="4"/>
  <c r="I170" i="4"/>
  <c r="J170" i="4"/>
  <c r="E205" i="5"/>
  <c r="G206" i="5"/>
  <c r="F205" i="5"/>
  <c r="D206" i="5"/>
  <c r="E170" i="4"/>
  <c r="D258" i="1"/>
  <c r="C259" i="1" s="1"/>
  <c r="E258" i="1"/>
  <c r="H258" i="1" l="1"/>
  <c r="I258" i="1"/>
  <c r="G258" i="1"/>
  <c r="F259" i="1"/>
  <c r="I206" i="5"/>
  <c r="H206" i="5"/>
  <c r="J206" i="5"/>
  <c r="E206" i="5"/>
  <c r="G207" i="5"/>
  <c r="F206" i="5"/>
  <c r="D207" i="5"/>
  <c r="F170" i="4"/>
  <c r="H171" i="4" s="1"/>
  <c r="G170" i="4"/>
  <c r="D259" i="1"/>
  <c r="C260" i="1" s="1"/>
  <c r="E259" i="1"/>
  <c r="H259" i="1" l="1"/>
  <c r="I259" i="1"/>
  <c r="G259" i="1"/>
  <c r="F260" i="1"/>
  <c r="J171" i="4"/>
  <c r="I171" i="4"/>
  <c r="K171" i="4"/>
  <c r="J207" i="5"/>
  <c r="I207" i="5"/>
  <c r="H207" i="5"/>
  <c r="F207" i="5"/>
  <c r="E207" i="5"/>
  <c r="G208" i="5" s="1"/>
  <c r="E171" i="4"/>
  <c r="E260" i="1"/>
  <c r="D260" i="1"/>
  <c r="C261" i="1" s="1"/>
  <c r="G260" i="1" l="1"/>
  <c r="H260" i="1"/>
  <c r="I260" i="1"/>
  <c r="F261" i="1"/>
  <c r="D208" i="5"/>
  <c r="J208" i="5"/>
  <c r="I208" i="5"/>
  <c r="H208" i="5"/>
  <c r="E208" i="5"/>
  <c r="G209" i="5" s="1"/>
  <c r="F208" i="5"/>
  <c r="D209" i="5"/>
  <c r="F171" i="4"/>
  <c r="H172" i="4" s="1"/>
  <c r="G171" i="4"/>
  <c r="E261" i="1"/>
  <c r="D261" i="1"/>
  <c r="C262" i="1" s="1"/>
  <c r="H261" i="1" l="1"/>
  <c r="I261" i="1"/>
  <c r="G261" i="1"/>
  <c r="F262" i="1"/>
  <c r="I172" i="4"/>
  <c r="J172" i="4"/>
  <c r="K172" i="4"/>
  <c r="E172" i="4"/>
  <c r="G172" i="4" s="1"/>
  <c r="I209" i="5"/>
  <c r="J209" i="5"/>
  <c r="H209" i="5"/>
  <c r="F209" i="5"/>
  <c r="E209" i="5"/>
  <c r="G210" i="5" s="1"/>
  <c r="E262" i="1"/>
  <c r="D262" i="1"/>
  <c r="C263" i="1" s="1"/>
  <c r="I262" i="1" l="1"/>
  <c r="G262" i="1"/>
  <c r="H262" i="1"/>
  <c r="F263" i="1"/>
  <c r="F172" i="4"/>
  <c r="H173" i="4" s="1"/>
  <c r="J210" i="5"/>
  <c r="I210" i="5"/>
  <c r="H210" i="5"/>
  <c r="D210" i="5"/>
  <c r="E263" i="1"/>
  <c r="D263" i="1"/>
  <c r="C264" i="1" s="1"/>
  <c r="I263" i="1" l="1"/>
  <c r="G263" i="1"/>
  <c r="H263" i="1"/>
  <c r="F264" i="1"/>
  <c r="E173" i="4"/>
  <c r="F173" i="4" s="1"/>
  <c r="H174" i="4" s="1"/>
  <c r="J173" i="4"/>
  <c r="I173" i="4"/>
  <c r="K173" i="4"/>
  <c r="E210" i="5"/>
  <c r="F210" i="5"/>
  <c r="G211" i="5"/>
  <c r="D211" i="5"/>
  <c r="E264" i="1"/>
  <c r="D264" i="1"/>
  <c r="C265" i="1" s="1"/>
  <c r="H264" i="1" l="1"/>
  <c r="I264" i="1"/>
  <c r="G264" i="1"/>
  <c r="F265" i="1"/>
  <c r="G173" i="4"/>
  <c r="K174" i="4"/>
  <c r="I174" i="4"/>
  <c r="J174" i="4"/>
  <c r="F211" i="5"/>
  <c r="E211" i="5"/>
  <c r="G212" i="5" s="1"/>
  <c r="H211" i="5"/>
  <c r="I211" i="5"/>
  <c r="J211" i="5"/>
  <c r="E174" i="4"/>
  <c r="E265" i="1"/>
  <c r="D265" i="1"/>
  <c r="C266" i="1" s="1"/>
  <c r="I265" i="1" l="1"/>
  <c r="H265" i="1"/>
  <c r="G265" i="1"/>
  <c r="F266" i="1"/>
  <c r="I212" i="5"/>
  <c r="J212" i="5"/>
  <c r="H212" i="5"/>
  <c r="D212" i="5"/>
  <c r="F174" i="4"/>
  <c r="H175" i="4" s="1"/>
  <c r="G174" i="4"/>
  <c r="E266" i="1"/>
  <c r="D266" i="1"/>
  <c r="C267" i="1" s="1"/>
  <c r="H266" i="1" l="1"/>
  <c r="I266" i="1"/>
  <c r="G266" i="1"/>
  <c r="F267" i="1"/>
  <c r="J175" i="4"/>
  <c r="K175" i="4"/>
  <c r="I175" i="4"/>
  <c r="F212" i="5"/>
  <c r="E212" i="5"/>
  <c r="G213" i="5" s="1"/>
  <c r="E175" i="4"/>
  <c r="D267" i="1"/>
  <c r="C268" i="1" s="1"/>
  <c r="E267" i="1"/>
  <c r="H267" i="1" l="1"/>
  <c r="I267" i="1"/>
  <c r="G267" i="1"/>
  <c r="F268" i="1"/>
  <c r="J213" i="5"/>
  <c r="H213" i="5"/>
  <c r="I213" i="5"/>
  <c r="D213" i="5"/>
  <c r="F175" i="4"/>
  <c r="H176" i="4" s="1"/>
  <c r="G175" i="4"/>
  <c r="E268" i="1"/>
  <c r="D268" i="1"/>
  <c r="C269" i="1" s="1"/>
  <c r="G268" i="1" l="1"/>
  <c r="I268" i="1"/>
  <c r="H268" i="1"/>
  <c r="F269" i="1"/>
  <c r="I176" i="4"/>
  <c r="J176" i="4"/>
  <c r="K176" i="4"/>
  <c r="F213" i="5"/>
  <c r="E213" i="5"/>
  <c r="G214" i="5" s="1"/>
  <c r="E176" i="4"/>
  <c r="E269" i="1"/>
  <c r="D269" i="1"/>
  <c r="C270" i="1" s="1"/>
  <c r="H269" i="1" l="1"/>
  <c r="I269" i="1"/>
  <c r="G269" i="1"/>
  <c r="F270" i="1"/>
  <c r="I214" i="5"/>
  <c r="H214" i="5"/>
  <c r="J214" i="5"/>
  <c r="D214" i="5"/>
  <c r="F176" i="4"/>
  <c r="E177" i="4" s="1"/>
  <c r="G176" i="4"/>
  <c r="D270" i="1"/>
  <c r="C271" i="1" s="1"/>
  <c r="E270" i="1"/>
  <c r="I270" i="1" l="1"/>
  <c r="H270" i="1"/>
  <c r="G270" i="1"/>
  <c r="F271" i="1"/>
  <c r="H177" i="4"/>
  <c r="F214" i="5"/>
  <c r="E214" i="5"/>
  <c r="G215" i="5" s="1"/>
  <c r="D215" i="5"/>
  <c r="F177" i="4"/>
  <c r="H178" i="4" s="1"/>
  <c r="G177" i="4"/>
  <c r="E271" i="1"/>
  <c r="D271" i="1"/>
  <c r="C272" i="1" s="1"/>
  <c r="H271" i="1" l="1"/>
  <c r="G271" i="1"/>
  <c r="I271" i="1"/>
  <c r="F272" i="1"/>
  <c r="K178" i="4"/>
  <c r="I178" i="4"/>
  <c r="J178" i="4"/>
  <c r="I177" i="4"/>
  <c r="J177" i="4"/>
  <c r="K177" i="4"/>
  <c r="J215" i="5"/>
  <c r="I215" i="5"/>
  <c r="H215" i="5"/>
  <c r="F215" i="5"/>
  <c r="E215" i="5"/>
  <c r="G216" i="5" s="1"/>
  <c r="E178" i="4"/>
  <c r="E272" i="1"/>
  <c r="D272" i="1"/>
  <c r="C273" i="1" s="1"/>
  <c r="H272" i="1" l="1"/>
  <c r="I272" i="1"/>
  <c r="G272" i="1"/>
  <c r="F273" i="1"/>
  <c r="J216" i="5"/>
  <c r="H216" i="5"/>
  <c r="I216" i="5"/>
  <c r="D216" i="5"/>
  <c r="F178" i="4"/>
  <c r="H179" i="4" s="1"/>
  <c r="G178" i="4"/>
  <c r="E273" i="1"/>
  <c r="D273" i="1"/>
  <c r="C274" i="1" s="1"/>
  <c r="I273" i="1" l="1"/>
  <c r="G273" i="1"/>
  <c r="H273" i="1"/>
  <c r="F274" i="1"/>
  <c r="J179" i="4"/>
  <c r="I179" i="4"/>
  <c r="K179" i="4"/>
  <c r="E216" i="5"/>
  <c r="F216" i="5"/>
  <c r="G217" i="5"/>
  <c r="D217" i="5"/>
  <c r="E179" i="4"/>
  <c r="D274" i="1"/>
  <c r="C275" i="1" s="1"/>
  <c r="E274" i="1"/>
  <c r="H274" i="1" l="1"/>
  <c r="I274" i="1"/>
  <c r="G274" i="1"/>
  <c r="F275" i="1"/>
  <c r="F179" i="4"/>
  <c r="E180" i="4" s="1"/>
  <c r="G180" i="4" s="1"/>
  <c r="G179" i="4"/>
  <c r="J217" i="5"/>
  <c r="H217" i="5"/>
  <c r="I217" i="5"/>
  <c r="F217" i="5"/>
  <c r="E217" i="5"/>
  <c r="D218" i="5" s="1"/>
  <c r="E275" i="1"/>
  <c r="D275" i="1"/>
  <c r="C276" i="1" s="1"/>
  <c r="H275" i="1" l="1"/>
  <c r="I275" i="1"/>
  <c r="G275" i="1"/>
  <c r="F276" i="1"/>
  <c r="F180" i="4"/>
  <c r="E181" i="4" s="1"/>
  <c r="G181" i="4" s="1"/>
  <c r="H180" i="4"/>
  <c r="E218" i="5"/>
  <c r="G219" i="5" s="1"/>
  <c r="F218" i="5"/>
  <c r="D219" i="5"/>
  <c r="G218" i="5"/>
  <c r="E276" i="1"/>
  <c r="D276" i="1"/>
  <c r="C277" i="1" s="1"/>
  <c r="G276" i="1" l="1"/>
  <c r="H276" i="1"/>
  <c r="I276" i="1"/>
  <c r="F277" i="1"/>
  <c r="F181" i="4"/>
  <c r="E182" i="4" s="1"/>
  <c r="H181" i="4"/>
  <c r="I181" i="4" s="1"/>
  <c r="I180" i="4"/>
  <c r="J180" i="4"/>
  <c r="K180" i="4"/>
  <c r="I219" i="5"/>
  <c r="H219" i="5"/>
  <c r="J219" i="5"/>
  <c r="H218" i="5"/>
  <c r="J218" i="5"/>
  <c r="I218" i="5"/>
  <c r="F219" i="5"/>
  <c r="E219" i="5"/>
  <c r="D220" i="5" s="1"/>
  <c r="E277" i="1"/>
  <c r="D277" i="1"/>
  <c r="C278" i="1" s="1"/>
  <c r="K181" i="4" l="1"/>
  <c r="H182" i="4"/>
  <c r="K182" i="4" s="1"/>
  <c r="H277" i="1"/>
  <c r="G277" i="1"/>
  <c r="I277" i="1"/>
  <c r="F278" i="1"/>
  <c r="G220" i="5"/>
  <c r="J181" i="4"/>
  <c r="F220" i="5"/>
  <c r="E220" i="5"/>
  <c r="G221" i="5" s="1"/>
  <c r="D221" i="5"/>
  <c r="J220" i="5"/>
  <c r="I220" i="5"/>
  <c r="H220" i="5"/>
  <c r="F182" i="4"/>
  <c r="E183" i="4" s="1"/>
  <c r="G182" i="4"/>
  <c r="D278" i="1"/>
  <c r="C279" i="1" s="1"/>
  <c r="E278" i="1"/>
  <c r="J182" i="4" l="1"/>
  <c r="I182" i="4"/>
  <c r="I278" i="1"/>
  <c r="G278" i="1"/>
  <c r="H278" i="1"/>
  <c r="F279" i="1"/>
  <c r="H183" i="4"/>
  <c r="J183" i="4" s="1"/>
  <c r="J221" i="5"/>
  <c r="H221" i="5"/>
  <c r="I221" i="5"/>
  <c r="F221" i="5"/>
  <c r="E221" i="5"/>
  <c r="G222" i="5" s="1"/>
  <c r="F183" i="4"/>
  <c r="H184" i="4" s="1"/>
  <c r="G183" i="4"/>
  <c r="E279" i="1"/>
  <c r="D279" i="1"/>
  <c r="C280" i="1" s="1"/>
  <c r="I279" i="1" l="1"/>
  <c r="G279" i="1"/>
  <c r="H279" i="1"/>
  <c r="F280" i="1"/>
  <c r="I183" i="4"/>
  <c r="K183" i="4"/>
  <c r="I184" i="4"/>
  <c r="J184" i="4"/>
  <c r="K184" i="4"/>
  <c r="I222" i="5"/>
  <c r="H222" i="5"/>
  <c r="J222" i="5"/>
  <c r="D222" i="5"/>
  <c r="E184" i="4"/>
  <c r="D280" i="1"/>
  <c r="C281" i="1" s="1"/>
  <c r="E280" i="1"/>
  <c r="H280" i="1" l="1"/>
  <c r="I280" i="1"/>
  <c r="G280" i="1"/>
  <c r="F281" i="1"/>
  <c r="E222" i="5"/>
  <c r="G223" i="5"/>
  <c r="F222" i="5"/>
  <c r="D223" i="5"/>
  <c r="F184" i="4"/>
  <c r="H185" i="4" s="1"/>
  <c r="G184" i="4"/>
  <c r="E281" i="1"/>
  <c r="D281" i="1"/>
  <c r="C282" i="1" s="1"/>
  <c r="I281" i="1" l="1"/>
  <c r="H281" i="1"/>
  <c r="G281" i="1"/>
  <c r="F282" i="1"/>
  <c r="I185" i="4"/>
  <c r="J185" i="4"/>
  <c r="K185" i="4"/>
  <c r="J223" i="5"/>
  <c r="I223" i="5"/>
  <c r="H223" i="5"/>
  <c r="E223" i="5"/>
  <c r="G224" i="5" s="1"/>
  <c r="F223" i="5"/>
  <c r="E185" i="4"/>
  <c r="E282" i="1"/>
  <c r="D282" i="1"/>
  <c r="C283" i="1" s="1"/>
  <c r="H282" i="1" l="1"/>
  <c r="I282" i="1"/>
  <c r="G282" i="1"/>
  <c r="F283" i="1"/>
  <c r="D224" i="5"/>
  <c r="J224" i="5"/>
  <c r="I224" i="5"/>
  <c r="H224" i="5"/>
  <c r="F224" i="5"/>
  <c r="E224" i="5"/>
  <c r="G225" i="5" s="1"/>
  <c r="F185" i="4"/>
  <c r="E186" i="4" s="1"/>
  <c r="G185" i="4"/>
  <c r="D283" i="1"/>
  <c r="C284" i="1" s="1"/>
  <c r="E283" i="1"/>
  <c r="H283" i="1" l="1"/>
  <c r="I283" i="1"/>
  <c r="G283" i="1"/>
  <c r="F284" i="1"/>
  <c r="D225" i="5"/>
  <c r="H186" i="4"/>
  <c r="J225" i="5"/>
  <c r="H225" i="5"/>
  <c r="I225" i="5"/>
  <c r="F225" i="5"/>
  <c r="E225" i="5"/>
  <c r="G226" i="5" s="1"/>
  <c r="F186" i="4"/>
  <c r="H187" i="4" s="1"/>
  <c r="G186" i="4"/>
  <c r="D284" i="1"/>
  <c r="C285" i="1" s="1"/>
  <c r="E284" i="1"/>
  <c r="G284" i="1" l="1"/>
  <c r="I284" i="1"/>
  <c r="H284" i="1"/>
  <c r="F285" i="1"/>
  <c r="J187" i="4"/>
  <c r="I187" i="4"/>
  <c r="K187" i="4"/>
  <c r="K186" i="4"/>
  <c r="J186" i="4"/>
  <c r="I186" i="4"/>
  <c r="H226" i="5"/>
  <c r="I226" i="5"/>
  <c r="J226" i="5"/>
  <c r="D226" i="5"/>
  <c r="E187" i="4"/>
  <c r="E285" i="1"/>
  <c r="D285" i="1"/>
  <c r="C286" i="1" s="1"/>
  <c r="H285" i="1" l="1"/>
  <c r="I285" i="1"/>
  <c r="G285" i="1"/>
  <c r="F286" i="1"/>
  <c r="E226" i="5"/>
  <c r="G227" i="5"/>
  <c r="F226" i="5"/>
  <c r="D227" i="5"/>
  <c r="F187" i="4"/>
  <c r="H188" i="4" s="1"/>
  <c r="G187" i="4"/>
  <c r="D286" i="1"/>
  <c r="C287" i="1" s="1"/>
  <c r="E286" i="1"/>
  <c r="I286" i="1" l="1"/>
  <c r="H286" i="1"/>
  <c r="G286" i="1"/>
  <c r="F287" i="1"/>
  <c r="I188" i="4"/>
  <c r="K188" i="4"/>
  <c r="J188" i="4"/>
  <c r="I227" i="5"/>
  <c r="H227" i="5"/>
  <c r="J227" i="5"/>
  <c r="F227" i="5"/>
  <c r="E227" i="5"/>
  <c r="G228" i="5" s="1"/>
  <c r="E188" i="4"/>
  <c r="E287" i="1"/>
  <c r="D287" i="1"/>
  <c r="C288" i="1" s="1"/>
  <c r="F288" i="1" l="1"/>
  <c r="H287" i="1"/>
  <c r="G287" i="1"/>
  <c r="I287" i="1"/>
  <c r="J228" i="5"/>
  <c r="I228" i="5"/>
  <c r="H228" i="5"/>
  <c r="D228" i="5"/>
  <c r="F188" i="4"/>
  <c r="H189" i="4" s="1"/>
  <c r="G188" i="4"/>
  <c r="E288" i="1"/>
  <c r="D288" i="1"/>
  <c r="C289" i="1" s="1"/>
  <c r="H288" i="1" l="1"/>
  <c r="I288" i="1"/>
  <c r="G288" i="1"/>
  <c r="F289" i="1"/>
  <c r="J189" i="4"/>
  <c r="K189" i="4"/>
  <c r="I189" i="4"/>
  <c r="F228" i="5"/>
  <c r="E228" i="5"/>
  <c r="G229" i="5" s="1"/>
  <c r="D229" i="5"/>
  <c r="E189" i="4"/>
  <c r="D289" i="1"/>
  <c r="C290" i="1" s="1"/>
  <c r="E289" i="1"/>
  <c r="I289" i="1" l="1"/>
  <c r="G289" i="1"/>
  <c r="H289" i="1"/>
  <c r="G189" i="4"/>
  <c r="J229" i="5"/>
  <c r="H229" i="5"/>
  <c r="I229" i="5"/>
  <c r="F229" i="5"/>
  <c r="E229" i="5"/>
  <c r="G230" i="5" s="1"/>
  <c r="D230" i="5"/>
  <c r="F189" i="4"/>
  <c r="H190" i="4" s="1"/>
  <c r="E290" i="1"/>
  <c r="D290" i="1"/>
  <c r="H290" i="1" l="1"/>
  <c r="I290" i="1"/>
  <c r="G300" i="1" s="1"/>
  <c r="G290" i="1"/>
  <c r="K190" i="4"/>
  <c r="I190" i="4"/>
  <c r="J190" i="4"/>
  <c r="E190" i="4"/>
  <c r="I230" i="5"/>
  <c r="H230" i="5"/>
  <c r="J230" i="5"/>
  <c r="E230" i="5"/>
  <c r="G231" i="5" s="1"/>
  <c r="F230" i="5"/>
  <c r="G299" i="1"/>
  <c r="G298" i="1"/>
  <c r="D231" i="5" l="1"/>
  <c r="F190" i="4"/>
  <c r="H191" i="4" s="1"/>
  <c r="G190" i="4"/>
  <c r="J231" i="5"/>
  <c r="I231" i="5"/>
  <c r="H231" i="5"/>
  <c r="E231" i="5"/>
  <c r="G232" i="5" s="1"/>
  <c r="F231" i="5"/>
  <c r="D232" i="5" l="1"/>
  <c r="E191" i="4"/>
  <c r="F191" i="4" s="1"/>
  <c r="H192" i="4" s="1"/>
  <c r="J191" i="4"/>
  <c r="K191" i="4"/>
  <c r="I191" i="4"/>
  <c r="J232" i="5"/>
  <c r="I232" i="5"/>
  <c r="H232" i="5"/>
  <c r="F232" i="5"/>
  <c r="E232" i="5"/>
  <c r="G233" i="5" s="1"/>
  <c r="G191" i="4" l="1"/>
  <c r="I192" i="4"/>
  <c r="J192" i="4"/>
  <c r="K192" i="4"/>
  <c r="J233" i="5"/>
  <c r="H233" i="5"/>
  <c r="I233" i="5"/>
  <c r="D233" i="5"/>
  <c r="E192" i="4"/>
  <c r="G192" i="4" l="1"/>
  <c r="F233" i="5"/>
  <c r="E233" i="5"/>
  <c r="G234" i="5" s="1"/>
  <c r="D234" i="5"/>
  <c r="F192" i="4"/>
  <c r="E193" i="4" s="1"/>
  <c r="G193" i="4" s="1"/>
  <c r="F193" i="4" l="1"/>
  <c r="H194" i="4" s="1"/>
  <c r="H193" i="4"/>
  <c r="H234" i="5"/>
  <c r="J234" i="5"/>
  <c r="I234" i="5"/>
  <c r="F234" i="5"/>
  <c r="E234" i="5"/>
  <c r="G235" i="5" s="1"/>
  <c r="E194" i="4" l="1"/>
  <c r="G194" i="4" s="1"/>
  <c r="K194" i="4"/>
  <c r="I194" i="4"/>
  <c r="J194" i="4"/>
  <c r="I193" i="4"/>
  <c r="J193" i="4"/>
  <c r="K193" i="4"/>
  <c r="I235" i="5"/>
  <c r="H235" i="5"/>
  <c r="J235" i="5"/>
  <c r="D235" i="5"/>
  <c r="F194" i="4" l="1"/>
  <c r="E195" i="4" s="1"/>
  <c r="F195" i="4" s="1"/>
  <c r="E196" i="4" s="1"/>
  <c r="F235" i="5"/>
  <c r="E235" i="5"/>
  <c r="G236" i="5" s="1"/>
  <c r="D236" i="5"/>
  <c r="H195" i="4" l="1"/>
  <c r="J195" i="4" s="1"/>
  <c r="G195" i="4"/>
  <c r="F196" i="4"/>
  <c r="H197" i="4" s="1"/>
  <c r="G196" i="4"/>
  <c r="H196" i="4"/>
  <c r="J236" i="5"/>
  <c r="I236" i="5"/>
  <c r="H236" i="5"/>
  <c r="F236" i="5"/>
  <c r="E236" i="5"/>
  <c r="G237" i="5" s="1"/>
  <c r="K195" i="4" l="1"/>
  <c r="I195" i="4"/>
  <c r="E197" i="4"/>
  <c r="I197" i="4"/>
  <c r="J197" i="4"/>
  <c r="K197" i="4"/>
  <c r="I196" i="4"/>
  <c r="J196" i="4"/>
  <c r="K196" i="4"/>
  <c r="J237" i="5"/>
  <c r="I237" i="5"/>
  <c r="H237" i="5"/>
  <c r="D237" i="5"/>
  <c r="G197" i="4" l="1"/>
  <c r="F197" i="4"/>
  <c r="E237" i="5"/>
  <c r="G238" i="5"/>
  <c r="F237" i="5"/>
  <c r="D238" i="5"/>
  <c r="E198" i="4" l="1"/>
  <c r="H198" i="4"/>
  <c r="J238" i="5"/>
  <c r="I238" i="5"/>
  <c r="H238" i="5"/>
  <c r="F238" i="5"/>
  <c r="E238" i="5"/>
  <c r="G239" i="5" s="1"/>
  <c r="D239" i="5"/>
  <c r="K198" i="4" l="1"/>
  <c r="I198" i="4"/>
  <c r="J198" i="4"/>
  <c r="G198" i="4"/>
  <c r="F198" i="4"/>
  <c r="H199" i="4" s="1"/>
  <c r="J239" i="5"/>
  <c r="I239" i="5"/>
  <c r="H239" i="5"/>
  <c r="E239" i="5"/>
  <c r="G240" i="5" s="1"/>
  <c r="F239" i="5"/>
  <c r="D240" i="5"/>
  <c r="E199" i="4" l="1"/>
  <c r="I199" i="4"/>
  <c r="J199" i="4"/>
  <c r="K199" i="4"/>
  <c r="J240" i="5"/>
  <c r="I240" i="5"/>
  <c r="H240" i="5"/>
  <c r="F240" i="5"/>
  <c r="E240" i="5"/>
  <c r="G241" i="5" s="1"/>
  <c r="G199" i="4" l="1"/>
  <c r="F199" i="4"/>
  <c r="H200" i="4" s="1"/>
  <c r="H241" i="5"/>
  <c r="I241" i="5"/>
  <c r="J241" i="5"/>
  <c r="D241" i="5"/>
  <c r="E200" i="4" l="1"/>
  <c r="K200" i="4"/>
  <c r="J200" i="4"/>
  <c r="I200" i="4"/>
  <c r="F241" i="5"/>
  <c r="E241" i="5"/>
  <c r="G242" i="5" s="1"/>
  <c r="G200" i="4" l="1"/>
  <c r="F200" i="4"/>
  <c r="E201" i="4" s="1"/>
  <c r="H242" i="5"/>
  <c r="I242" i="5"/>
  <c r="J242" i="5"/>
  <c r="D242" i="5"/>
  <c r="H201" i="4" l="1"/>
  <c r="G201" i="4"/>
  <c r="F201" i="4"/>
  <c r="H202" i="4" s="1"/>
  <c r="E202" i="4"/>
  <c r="F242" i="5"/>
  <c r="E242" i="5"/>
  <c r="G243" i="5" s="1"/>
  <c r="F202" i="4" l="1"/>
  <c r="H203" i="4" s="1"/>
  <c r="G202" i="4"/>
  <c r="K202" i="4"/>
  <c r="J202" i="4"/>
  <c r="I202" i="4"/>
  <c r="K201" i="4"/>
  <c r="J201" i="4"/>
  <c r="I201" i="4"/>
  <c r="I243" i="5"/>
  <c r="H243" i="5"/>
  <c r="J243" i="5"/>
  <c r="D243" i="5"/>
  <c r="E203" i="4" l="1"/>
  <c r="I203" i="4"/>
  <c r="J203" i="4"/>
  <c r="K203" i="4"/>
  <c r="F243" i="5"/>
  <c r="E243" i="5"/>
  <c r="G244" i="5" s="1"/>
  <c r="D244" i="5"/>
  <c r="G203" i="4" l="1"/>
  <c r="F203" i="4"/>
  <c r="J244" i="5"/>
  <c r="I244" i="5"/>
  <c r="H244" i="5"/>
  <c r="F244" i="5"/>
  <c r="E244" i="5"/>
  <c r="G245" i="5" s="1"/>
  <c r="H204" i="4" l="1"/>
  <c r="E204" i="4"/>
  <c r="J245" i="5"/>
  <c r="I245" i="5"/>
  <c r="H245" i="5"/>
  <c r="D245" i="5"/>
  <c r="F204" i="4" l="1"/>
  <c r="E205" i="4" s="1"/>
  <c r="G204" i="4"/>
  <c r="K204" i="4"/>
  <c r="J204" i="4"/>
  <c r="I204" i="4"/>
  <c r="F245" i="5"/>
  <c r="E245" i="5"/>
  <c r="G246" i="5" s="1"/>
  <c r="H205" i="4" l="1"/>
  <c r="G205" i="4"/>
  <c r="F205" i="4"/>
  <c r="H206" i="4" s="1"/>
  <c r="J205" i="4"/>
  <c r="I205" i="4"/>
  <c r="K205" i="4"/>
  <c r="J246" i="5"/>
  <c r="I246" i="5"/>
  <c r="H246" i="5"/>
  <c r="D246" i="5"/>
  <c r="E206" i="4" l="1"/>
  <c r="G206" i="4" s="1"/>
  <c r="I206" i="4"/>
  <c r="J206" i="4"/>
  <c r="K206" i="4"/>
  <c r="F246" i="5"/>
  <c r="E246" i="5"/>
  <c r="G247" i="5" s="1"/>
  <c r="F206" i="4" l="1"/>
  <c r="E207" i="4" s="1"/>
  <c r="H207" i="4"/>
  <c r="J247" i="5"/>
  <c r="I247" i="5"/>
  <c r="H247" i="5"/>
  <c r="D247" i="5"/>
  <c r="J207" i="4" l="1"/>
  <c r="I207" i="4"/>
  <c r="K207" i="4"/>
  <c r="G207" i="4"/>
  <c r="F207" i="4"/>
  <c r="H208" i="4" s="1"/>
  <c r="E247" i="5"/>
  <c r="D248" i="5" s="1"/>
  <c r="F247" i="5"/>
  <c r="G248" i="5"/>
  <c r="E208" i="4" l="1"/>
  <c r="G208" i="4" s="1"/>
  <c r="I208" i="4"/>
  <c r="J208" i="4"/>
  <c r="K208" i="4"/>
  <c r="J248" i="5"/>
  <c r="H248" i="5"/>
  <c r="I248" i="5"/>
  <c r="F248" i="5"/>
  <c r="E248" i="5"/>
  <c r="G249" i="5" s="1"/>
  <c r="F208" i="4" l="1"/>
  <c r="H209" i="4" s="1"/>
  <c r="J209" i="4" s="1"/>
  <c r="J249" i="5"/>
  <c r="H249" i="5"/>
  <c r="I249" i="5"/>
  <c r="D249" i="5"/>
  <c r="K209" i="4" l="1"/>
  <c r="I209" i="4"/>
  <c r="E209" i="4"/>
  <c r="F249" i="5"/>
  <c r="E249" i="5"/>
  <c r="G250" i="5" s="1"/>
  <c r="D250" i="5"/>
  <c r="G209" i="4" l="1"/>
  <c r="F209" i="4"/>
  <c r="H210" i="4" s="1"/>
  <c r="H250" i="5"/>
  <c r="I250" i="5"/>
  <c r="J250" i="5"/>
  <c r="F250" i="5"/>
  <c r="E250" i="5"/>
  <c r="G251" i="5" s="1"/>
  <c r="D251" i="5"/>
  <c r="E210" i="4" l="1"/>
  <c r="G210" i="4" s="1"/>
  <c r="F210" i="4"/>
  <c r="H211" i="4" s="1"/>
  <c r="I211" i="4" s="1"/>
  <c r="K210" i="4"/>
  <c r="I210" i="4"/>
  <c r="J210" i="4"/>
  <c r="I251" i="5"/>
  <c r="H251" i="5"/>
  <c r="J251" i="5"/>
  <c r="F251" i="5"/>
  <c r="E251" i="5"/>
  <c r="G252" i="5" s="1"/>
  <c r="D252" i="5"/>
  <c r="K211" i="4" l="1"/>
  <c r="J211" i="4"/>
  <c r="E211" i="4"/>
  <c r="F211" i="4" s="1"/>
  <c r="H212" i="4" s="1"/>
  <c r="G211" i="4"/>
  <c r="J252" i="5"/>
  <c r="I252" i="5"/>
  <c r="H252" i="5"/>
  <c r="F252" i="5"/>
  <c r="E252" i="5"/>
  <c r="G253" i="5" s="1"/>
  <c r="E212" i="4" l="1"/>
  <c r="G212" i="4" s="1"/>
  <c r="K212" i="4"/>
  <c r="J212" i="4"/>
  <c r="I212" i="4"/>
  <c r="J253" i="5"/>
  <c r="I253" i="5"/>
  <c r="H253" i="5"/>
  <c r="D253" i="5"/>
  <c r="F212" i="4" l="1"/>
  <c r="H213" i="4" s="1"/>
  <c r="K213" i="4"/>
  <c r="I213" i="4"/>
  <c r="J213" i="4"/>
  <c r="E213" i="4"/>
  <c r="F253" i="5"/>
  <c r="E253" i="5"/>
  <c r="G254" i="5" s="1"/>
  <c r="D254" i="5"/>
  <c r="F213" i="4" l="1"/>
  <c r="E214" i="4" s="1"/>
  <c r="G213" i="4"/>
  <c r="J254" i="5"/>
  <c r="I254" i="5"/>
  <c r="H254" i="5"/>
  <c r="E254" i="5"/>
  <c r="G255" i="5" s="1"/>
  <c r="F254" i="5"/>
  <c r="H214" i="4" l="1"/>
  <c r="D255" i="5"/>
  <c r="I214" i="4"/>
  <c r="J214" i="4"/>
  <c r="K214" i="4"/>
  <c r="G214" i="4"/>
  <c r="F214" i="4"/>
  <c r="H215" i="4" s="1"/>
  <c r="J255" i="5"/>
  <c r="I255" i="5"/>
  <c r="H255" i="5"/>
  <c r="E255" i="5"/>
  <c r="G256" i="5" s="1"/>
  <c r="F255" i="5"/>
  <c r="D256" i="5"/>
  <c r="I215" i="4" l="1"/>
  <c r="J215" i="4"/>
  <c r="K215" i="4"/>
  <c r="E215" i="4"/>
  <c r="J256" i="5"/>
  <c r="H256" i="5"/>
  <c r="I256" i="5"/>
  <c r="F256" i="5"/>
  <c r="E256" i="5"/>
  <c r="G257" i="5" s="1"/>
  <c r="F215" i="4" l="1"/>
  <c r="E216" i="4" s="1"/>
  <c r="G215" i="4"/>
  <c r="I257" i="5"/>
  <c r="J257" i="5"/>
  <c r="H257" i="5"/>
  <c r="D257" i="5"/>
  <c r="H216" i="4" l="1"/>
  <c r="K216" i="4" s="1"/>
  <c r="F216" i="4"/>
  <c r="H217" i="4" s="1"/>
  <c r="G216" i="4"/>
  <c r="F257" i="5"/>
  <c r="E257" i="5"/>
  <c r="G258" i="5" s="1"/>
  <c r="D258" i="5"/>
  <c r="I216" i="4" l="1"/>
  <c r="J216" i="4"/>
  <c r="E217" i="4"/>
  <c r="G217" i="4" s="1"/>
  <c r="I217" i="4"/>
  <c r="J217" i="4"/>
  <c r="K217" i="4"/>
  <c r="H258" i="5"/>
  <c r="I258" i="5"/>
  <c r="J258" i="5"/>
  <c r="F258" i="5"/>
  <c r="E258" i="5"/>
  <c r="D259" i="5" s="1"/>
  <c r="F217" i="4" l="1"/>
  <c r="F259" i="5"/>
  <c r="E259" i="5"/>
  <c r="G260" i="5" s="1"/>
  <c r="H218" i="4" l="1"/>
  <c r="E218" i="4"/>
  <c r="J260" i="5"/>
  <c r="I260" i="5"/>
  <c r="H260" i="5"/>
  <c r="D260" i="5"/>
  <c r="F218" i="4" l="1"/>
  <c r="G218" i="4"/>
  <c r="K218" i="4"/>
  <c r="I218" i="4"/>
  <c r="J218" i="4"/>
  <c r="F260" i="5"/>
  <c r="E260" i="5"/>
  <c r="G261" i="5" s="1"/>
  <c r="D261" i="5"/>
  <c r="H219" i="4" l="1"/>
  <c r="E219" i="4"/>
  <c r="J261" i="5"/>
  <c r="I261" i="5"/>
  <c r="H261" i="5"/>
  <c r="F261" i="5"/>
  <c r="E261" i="5"/>
  <c r="G262" i="5" s="1"/>
  <c r="F219" i="4" l="1"/>
  <c r="G219" i="4"/>
  <c r="I219" i="4"/>
  <c r="K219" i="4"/>
  <c r="J219" i="4"/>
  <c r="J262" i="5"/>
  <c r="I262" i="5"/>
  <c r="H262" i="5"/>
  <c r="D262" i="5"/>
  <c r="E220" i="4" l="1"/>
  <c r="H220" i="4"/>
  <c r="E262" i="5"/>
  <c r="G263" i="5"/>
  <c r="F262" i="5"/>
  <c r="D263" i="5"/>
  <c r="J220" i="4" l="1"/>
  <c r="I220" i="4"/>
  <c r="K220" i="4"/>
  <c r="G220" i="4"/>
  <c r="F220" i="4"/>
  <c r="J263" i="5"/>
  <c r="H263" i="5"/>
  <c r="I263" i="5"/>
  <c r="F263" i="5"/>
  <c r="E263" i="5"/>
  <c r="G264" i="5" s="1"/>
  <c r="H221" i="4" l="1"/>
  <c r="E221" i="4"/>
  <c r="I264" i="5"/>
  <c r="H264" i="5"/>
  <c r="J264" i="5"/>
  <c r="D264" i="5"/>
  <c r="F221" i="4" l="1"/>
  <c r="G221" i="4"/>
  <c r="J221" i="4"/>
  <c r="I221" i="4"/>
  <c r="K221" i="4"/>
  <c r="F264" i="5"/>
  <c r="E264" i="5"/>
  <c r="G265" i="5" s="1"/>
  <c r="D265" i="5"/>
  <c r="H222" i="4" l="1"/>
  <c r="E222" i="4"/>
  <c r="H265" i="5"/>
  <c r="J265" i="5"/>
  <c r="I265" i="5"/>
  <c r="F265" i="5"/>
  <c r="E265" i="5"/>
  <c r="D266" i="5" s="1"/>
  <c r="F222" i="4" l="1"/>
  <c r="H223" i="4" s="1"/>
  <c r="G222" i="4"/>
  <c r="E223" i="4"/>
  <c r="I222" i="4"/>
  <c r="J222" i="4"/>
  <c r="K222" i="4"/>
  <c r="F266" i="5"/>
  <c r="E266" i="5"/>
  <c r="G267" i="5" s="1"/>
  <c r="I223" i="4" l="1"/>
  <c r="J223" i="4"/>
  <c r="K223" i="4"/>
  <c r="F223" i="4"/>
  <c r="H224" i="4" s="1"/>
  <c r="G223" i="4"/>
  <c r="E224" i="4"/>
  <c r="J267" i="5"/>
  <c r="I267" i="5"/>
  <c r="H267" i="5"/>
  <c r="D267" i="5"/>
  <c r="I224" i="4" l="1"/>
  <c r="K224" i="4"/>
  <c r="J224" i="4"/>
  <c r="F224" i="4"/>
  <c r="E225" i="4" s="1"/>
  <c r="F225" i="4" s="1"/>
  <c r="H226" i="4" s="1"/>
  <c r="G224" i="4"/>
  <c r="F267" i="5"/>
  <c r="E267" i="5"/>
  <c r="G268" i="5" s="1"/>
  <c r="G225" i="4" l="1"/>
  <c r="H225" i="4"/>
  <c r="E226" i="4"/>
  <c r="G226" i="4" s="1"/>
  <c r="K226" i="4"/>
  <c r="J226" i="4"/>
  <c r="I226" i="4"/>
  <c r="J268" i="5"/>
  <c r="I268" i="5"/>
  <c r="H268" i="5"/>
  <c r="D268" i="5"/>
  <c r="J225" i="4" l="1"/>
  <c r="K225" i="4"/>
  <c r="I225" i="4"/>
  <c r="F226" i="4"/>
  <c r="E268" i="5"/>
  <c r="G269" i="5" s="1"/>
  <c r="F268" i="5"/>
  <c r="D269" i="5"/>
  <c r="H227" i="4" l="1"/>
  <c r="E227" i="4"/>
  <c r="J269" i="5"/>
  <c r="I269" i="5"/>
  <c r="H269" i="5"/>
  <c r="E269" i="5"/>
  <c r="F269" i="5"/>
  <c r="G270" i="5"/>
  <c r="D270" i="5"/>
  <c r="F227" i="4" l="1"/>
  <c r="H228" i="4" s="1"/>
  <c r="G227" i="4"/>
  <c r="K227" i="4"/>
  <c r="J227" i="4"/>
  <c r="I227" i="4"/>
  <c r="F270" i="5"/>
  <c r="E270" i="5"/>
  <c r="G271" i="5" s="1"/>
  <c r="J270" i="5"/>
  <c r="I270" i="5"/>
  <c r="H270" i="5"/>
  <c r="E228" i="4" l="1"/>
  <c r="G228" i="4" s="1"/>
  <c r="F228" i="4"/>
  <c r="E229" i="4" s="1"/>
  <c r="J228" i="4"/>
  <c r="I228" i="4"/>
  <c r="K228" i="4"/>
  <c r="D271" i="5"/>
  <c r="I271" i="5"/>
  <c r="J271" i="5"/>
  <c r="H271" i="5"/>
  <c r="F271" i="5"/>
  <c r="E271" i="5"/>
  <c r="G272" i="5" s="1"/>
  <c r="F229" i="4" l="1"/>
  <c r="H230" i="4" s="1"/>
  <c r="G229" i="4"/>
  <c r="H229" i="4"/>
  <c r="H272" i="5"/>
  <c r="J272" i="5"/>
  <c r="I272" i="5"/>
  <c r="D272" i="5"/>
  <c r="E230" i="4" l="1"/>
  <c r="K229" i="4"/>
  <c r="J229" i="4"/>
  <c r="I229" i="4"/>
  <c r="F230" i="4"/>
  <c r="G230" i="4"/>
  <c r="I230" i="4"/>
  <c r="K230" i="4"/>
  <c r="J230" i="4"/>
  <c r="F272" i="5"/>
  <c r="E272" i="5"/>
  <c r="G273" i="5" s="1"/>
  <c r="D273" i="5"/>
  <c r="H231" i="4" l="1"/>
  <c r="E231" i="4"/>
  <c r="I273" i="5"/>
  <c r="H273" i="5"/>
  <c r="J273" i="5"/>
  <c r="F273" i="5"/>
  <c r="E273" i="5"/>
  <c r="G274" i="5" s="1"/>
  <c r="F231" i="4" l="1"/>
  <c r="G231" i="4"/>
  <c r="J231" i="4"/>
  <c r="I231" i="4"/>
  <c r="K231" i="4"/>
  <c r="J274" i="5"/>
  <c r="I274" i="5"/>
  <c r="H274" i="5"/>
  <c r="D274" i="5"/>
  <c r="E232" i="4" l="1"/>
  <c r="H232" i="4"/>
  <c r="F274" i="5"/>
  <c r="E274" i="5"/>
  <c r="G275" i="5" s="1"/>
  <c r="D275" i="5"/>
  <c r="J232" i="4" l="1"/>
  <c r="I232" i="4"/>
  <c r="K232" i="4"/>
  <c r="F232" i="4"/>
  <c r="E233" i="4" s="1"/>
  <c r="G232" i="4"/>
  <c r="J275" i="5"/>
  <c r="I275" i="5"/>
  <c r="H275" i="5"/>
  <c r="F275" i="5"/>
  <c r="E275" i="5"/>
  <c r="G276" i="5" s="1"/>
  <c r="D276" i="5"/>
  <c r="G233" i="4" l="1"/>
  <c r="F233" i="4"/>
  <c r="E234" i="4" s="1"/>
  <c r="H233" i="4"/>
  <c r="J276" i="5"/>
  <c r="I276" i="5"/>
  <c r="H276" i="5"/>
  <c r="E276" i="5"/>
  <c r="G277" i="5" s="1"/>
  <c r="F276" i="5"/>
  <c r="D277" i="5"/>
  <c r="H234" i="4" l="1"/>
  <c r="I233" i="4"/>
  <c r="J233" i="4"/>
  <c r="K233" i="4"/>
  <c r="G234" i="4"/>
  <c r="F234" i="4"/>
  <c r="H235" i="4" s="1"/>
  <c r="E277" i="5"/>
  <c r="G278" i="5" s="1"/>
  <c r="F277" i="5"/>
  <c r="D278" i="5"/>
  <c r="J277" i="5"/>
  <c r="I277" i="5"/>
  <c r="H277" i="5"/>
  <c r="E235" i="4" l="1"/>
  <c r="F235" i="4"/>
  <c r="E236" i="4" s="1"/>
  <c r="G235" i="4"/>
  <c r="K235" i="4"/>
  <c r="J235" i="4"/>
  <c r="I235" i="4"/>
  <c r="K234" i="4"/>
  <c r="I234" i="4"/>
  <c r="J234" i="4"/>
  <c r="J278" i="5"/>
  <c r="I278" i="5"/>
  <c r="H278" i="5"/>
  <c r="F278" i="5"/>
  <c r="E278" i="5"/>
  <c r="G279" i="5" s="1"/>
  <c r="D279" i="5"/>
  <c r="H236" i="4" l="1"/>
  <c r="K236" i="4" s="1"/>
  <c r="G236" i="4"/>
  <c r="F236" i="4"/>
  <c r="H237" i="4" s="1"/>
  <c r="J279" i="5"/>
  <c r="I279" i="5"/>
  <c r="H279" i="5"/>
  <c r="F279" i="5"/>
  <c r="E279" i="5"/>
  <c r="G280" i="5" s="1"/>
  <c r="J236" i="4" l="1"/>
  <c r="I236" i="4"/>
  <c r="E237" i="4"/>
  <c r="I237" i="4"/>
  <c r="K237" i="4"/>
  <c r="J237" i="4"/>
  <c r="H280" i="5"/>
  <c r="J280" i="5"/>
  <c r="I280" i="5"/>
  <c r="D280" i="5"/>
  <c r="F237" i="4" l="1"/>
  <c r="E238" i="4" s="1"/>
  <c r="G237" i="4"/>
  <c r="H238" i="4"/>
  <c r="F280" i="5"/>
  <c r="E280" i="5"/>
  <c r="G281" i="5" s="1"/>
  <c r="D281" i="5"/>
  <c r="G238" i="4" l="1"/>
  <c r="F238" i="4"/>
  <c r="H239" i="4" s="1"/>
  <c r="J238" i="4"/>
  <c r="I238" i="4"/>
  <c r="K238" i="4"/>
  <c r="I281" i="5"/>
  <c r="H281" i="5"/>
  <c r="J281" i="5"/>
  <c r="F281" i="5"/>
  <c r="E281" i="5"/>
  <c r="G282" i="5" s="1"/>
  <c r="E239" i="4" l="1"/>
  <c r="J239" i="4"/>
  <c r="I239" i="4"/>
  <c r="K239" i="4"/>
  <c r="D282" i="5"/>
  <c r="J282" i="5"/>
  <c r="I282" i="5"/>
  <c r="H282" i="5"/>
  <c r="F282" i="5"/>
  <c r="E282" i="5"/>
  <c r="G283" i="5" s="1"/>
  <c r="G239" i="4" l="1"/>
  <c r="F239" i="4"/>
  <c r="H240" i="4" s="1"/>
  <c r="E240" i="4"/>
  <c r="D283" i="5"/>
  <c r="J283" i="5"/>
  <c r="I283" i="5"/>
  <c r="H283" i="5"/>
  <c r="E283" i="5"/>
  <c r="G284" i="5" s="1"/>
  <c r="F283" i="5"/>
  <c r="F240" i="4" l="1"/>
  <c r="H241" i="4" s="1"/>
  <c r="G240" i="4"/>
  <c r="K240" i="4"/>
  <c r="I240" i="4"/>
  <c r="J240" i="4"/>
  <c r="J284" i="5"/>
  <c r="I284" i="5"/>
  <c r="H284" i="5"/>
  <c r="D284" i="5"/>
  <c r="J241" i="4" l="1"/>
  <c r="I241" i="4"/>
  <c r="K241" i="4"/>
  <c r="E241" i="4"/>
  <c r="F284" i="5"/>
  <c r="E284" i="5"/>
  <c r="G285" i="5" s="1"/>
  <c r="D285" i="5"/>
  <c r="G241" i="4" l="1"/>
  <c r="F241" i="4"/>
  <c r="E242" i="4" s="1"/>
  <c r="J285" i="5"/>
  <c r="I285" i="5"/>
  <c r="H285" i="5"/>
  <c r="E285" i="5"/>
  <c r="F285" i="5"/>
  <c r="G286" i="5"/>
  <c r="D286" i="5"/>
  <c r="H242" i="4" l="1"/>
  <c r="J242" i="4" s="1"/>
  <c r="F242" i="4"/>
  <c r="G242" i="4"/>
  <c r="F286" i="5"/>
  <c r="E286" i="5"/>
  <c r="G287" i="5" s="1"/>
  <c r="D287" i="5"/>
  <c r="J286" i="5"/>
  <c r="I286" i="5"/>
  <c r="H286" i="5"/>
  <c r="I242" i="4" l="1"/>
  <c r="K242" i="4"/>
  <c r="H243" i="4"/>
  <c r="E243" i="4"/>
  <c r="J287" i="5"/>
  <c r="I287" i="5"/>
  <c r="H287" i="5"/>
  <c r="F287" i="5"/>
  <c r="E287" i="5"/>
  <c r="G288" i="5" s="1"/>
  <c r="F243" i="4" l="1"/>
  <c r="G243" i="4"/>
  <c r="I243" i="4"/>
  <c r="K243" i="4"/>
  <c r="J243" i="4"/>
  <c r="H288" i="5"/>
  <c r="J288" i="5"/>
  <c r="I288" i="5"/>
  <c r="D288" i="5"/>
  <c r="H244" i="4" l="1"/>
  <c r="E244" i="4"/>
  <c r="F288" i="5"/>
  <c r="E288" i="5"/>
  <c r="G289" i="5" s="1"/>
  <c r="D289" i="5"/>
  <c r="G244" i="4" l="1"/>
  <c r="F244" i="4"/>
  <c r="K244" i="4"/>
  <c r="I244" i="4"/>
  <c r="J244" i="4"/>
  <c r="I289" i="5"/>
  <c r="H289" i="5"/>
  <c r="J289" i="5"/>
  <c r="F289" i="5"/>
  <c r="E289" i="5"/>
  <c r="G290" i="5" s="1"/>
  <c r="H245" i="4" l="1"/>
  <c r="E245" i="4"/>
  <c r="D290" i="5"/>
  <c r="J290" i="5"/>
  <c r="H295" i="5" s="1"/>
  <c r="I290" i="5"/>
  <c r="H294" i="5" s="1"/>
  <c r="H290" i="5"/>
  <c r="H293" i="5" s="1"/>
  <c r="F290" i="5"/>
  <c r="E290" i="5"/>
  <c r="F245" i="4" l="1"/>
  <c r="H246" i="4" s="1"/>
  <c r="G245" i="4"/>
  <c r="K245" i="4"/>
  <c r="J245" i="4"/>
  <c r="I245" i="4"/>
  <c r="E246" i="4" l="1"/>
  <c r="F246" i="4" s="1"/>
  <c r="G246" i="4"/>
  <c r="J246" i="4"/>
  <c r="K246" i="4"/>
  <c r="I246" i="4"/>
  <c r="H247" i="4" l="1"/>
  <c r="K247" i="4" s="1"/>
  <c r="E247" i="4"/>
  <c r="J247" i="4" l="1"/>
  <c r="I247" i="4"/>
  <c r="F247" i="4"/>
  <c r="G247" i="4"/>
  <c r="H248" i="4" l="1"/>
  <c r="E248" i="4"/>
  <c r="F248" i="4" l="1"/>
  <c r="G248" i="4"/>
  <c r="I248" i="4"/>
  <c r="K248" i="4"/>
  <c r="J248" i="4"/>
  <c r="H249" i="4" l="1"/>
  <c r="E249" i="4"/>
  <c r="K249" i="4" l="1"/>
  <c r="I249" i="4"/>
  <c r="J249" i="4"/>
  <c r="G249" i="4"/>
  <c r="F249" i="4"/>
  <c r="H250" i="4" l="1"/>
  <c r="E250" i="4"/>
  <c r="F250" i="4" l="1"/>
  <c r="G250" i="4"/>
  <c r="J250" i="4"/>
  <c r="I250" i="4"/>
  <c r="K250" i="4"/>
  <c r="E251" i="4" l="1"/>
  <c r="H251" i="4"/>
  <c r="K251" i="4" l="1"/>
  <c r="I251" i="4"/>
  <c r="J251" i="4"/>
  <c r="G251" i="4"/>
  <c r="F251" i="4"/>
  <c r="H252" i="4" s="1"/>
  <c r="E252" i="4" l="1"/>
  <c r="G252" i="4"/>
  <c r="F252" i="4"/>
  <c r="H253" i="4" s="1"/>
  <c r="J252" i="4"/>
  <c r="K252" i="4"/>
  <c r="I252" i="4"/>
  <c r="E253" i="4"/>
  <c r="G253" i="4" l="1"/>
  <c r="F253" i="4"/>
  <c r="E254" i="4" s="1"/>
  <c r="I253" i="4"/>
  <c r="J253" i="4"/>
  <c r="K253" i="4"/>
  <c r="H254" i="4"/>
  <c r="I254" i="4" s="1"/>
  <c r="J254" i="4" l="1"/>
  <c r="K254" i="4"/>
  <c r="G254" i="4"/>
  <c r="F254" i="4"/>
  <c r="H255" i="4" s="1"/>
  <c r="J255" i="4" l="1"/>
  <c r="K255" i="4"/>
  <c r="I255" i="4"/>
  <c r="E255" i="4"/>
  <c r="F255" i="4" l="1"/>
  <c r="G255" i="4"/>
  <c r="E256" i="4" l="1"/>
  <c r="H256" i="4"/>
  <c r="K256" i="4" l="1"/>
  <c r="J256" i="4"/>
  <c r="I256" i="4"/>
  <c r="F256" i="4"/>
  <c r="H257" i="4" s="1"/>
  <c r="G256" i="4"/>
  <c r="E257" i="4" l="1"/>
  <c r="I257" i="4"/>
  <c r="K257" i="4"/>
  <c r="J257" i="4"/>
  <c r="G257" i="4"/>
  <c r="F257" i="4"/>
  <c r="E258" i="4" s="1"/>
  <c r="G258" i="4" l="1"/>
  <c r="F258" i="4"/>
  <c r="E259" i="4" s="1"/>
  <c r="H259" i="4"/>
  <c r="H258" i="4"/>
  <c r="J258" i="4" l="1"/>
  <c r="K258" i="4"/>
  <c r="I258" i="4"/>
  <c r="J259" i="4"/>
  <c r="I259" i="4"/>
  <c r="K259" i="4"/>
  <c r="F259" i="4"/>
  <c r="H260" i="4" s="1"/>
  <c r="G259" i="4"/>
  <c r="K260" i="4" l="1"/>
  <c r="I260" i="4"/>
  <c r="J260" i="4"/>
  <c r="E260" i="4"/>
  <c r="G260" i="4" l="1"/>
  <c r="F260" i="4"/>
  <c r="E261" i="4" s="1"/>
  <c r="H261" i="4"/>
  <c r="K261" i="4" l="1"/>
  <c r="J261" i="4"/>
  <c r="I261" i="4"/>
  <c r="G261" i="4"/>
  <c r="F261" i="4"/>
  <c r="H262" i="4" s="1"/>
  <c r="E262" i="4" l="1"/>
  <c r="I262" i="4"/>
  <c r="K262" i="4"/>
  <c r="J262" i="4"/>
  <c r="G262" i="4" l="1"/>
  <c r="F262" i="4"/>
  <c r="H263" i="4" s="1"/>
  <c r="E263" i="4"/>
  <c r="F263" i="4" l="1"/>
  <c r="G263" i="4"/>
  <c r="I263" i="4"/>
  <c r="J263" i="4"/>
  <c r="K263" i="4"/>
  <c r="H264" i="4" l="1"/>
  <c r="E264" i="4"/>
  <c r="G264" i="4" l="1"/>
  <c r="F264" i="4"/>
  <c r="J264" i="4"/>
  <c r="I264" i="4"/>
  <c r="K264" i="4"/>
  <c r="H265" i="4" l="1"/>
  <c r="E265" i="4"/>
  <c r="G265" i="4" l="1"/>
  <c r="F265" i="4"/>
  <c r="J265" i="4"/>
  <c r="I265" i="4"/>
  <c r="K265" i="4"/>
  <c r="H266" i="4" l="1"/>
  <c r="E266" i="4"/>
  <c r="F266" i="4" l="1"/>
  <c r="G266" i="4"/>
  <c r="J266" i="4"/>
  <c r="I266" i="4"/>
  <c r="K266" i="4"/>
  <c r="H267" i="4" l="1"/>
  <c r="E267" i="4"/>
  <c r="F267" i="4" l="1"/>
  <c r="G267" i="4"/>
  <c r="J267" i="4"/>
  <c r="I267" i="4"/>
  <c r="K267" i="4"/>
  <c r="H268" i="4" l="1"/>
  <c r="E268" i="4"/>
  <c r="F268" i="4" l="1"/>
  <c r="G268" i="4"/>
  <c r="K268" i="4"/>
  <c r="J268" i="4"/>
  <c r="I268" i="4"/>
  <c r="H269" i="4" l="1"/>
  <c r="E269" i="4"/>
  <c r="G269" i="4" l="1"/>
  <c r="F269" i="4"/>
  <c r="H270" i="4" s="1"/>
  <c r="J269" i="4"/>
  <c r="K269" i="4"/>
  <c r="I269" i="4"/>
  <c r="E270" i="4" l="1"/>
  <c r="K270" i="4"/>
  <c r="J270" i="4"/>
  <c r="I270" i="4"/>
  <c r="G270" i="4" l="1"/>
  <c r="F270" i="4"/>
  <c r="H271" i="4" s="1"/>
  <c r="E271" i="4"/>
  <c r="F271" i="4" l="1"/>
  <c r="G271" i="4"/>
  <c r="H272" i="4"/>
  <c r="E272" i="4"/>
  <c r="K271" i="4"/>
  <c r="I271" i="4"/>
  <c r="J271" i="4"/>
  <c r="F272" i="4" l="1"/>
  <c r="H273" i="4" s="1"/>
  <c r="G272" i="4"/>
  <c r="E273" i="4"/>
  <c r="I272" i="4"/>
  <c r="J272" i="4"/>
  <c r="K272" i="4"/>
  <c r="G273" i="4" l="1"/>
  <c r="F273" i="4"/>
  <c r="H274" i="4" s="1"/>
  <c r="I273" i="4"/>
  <c r="J273" i="4"/>
  <c r="K273" i="4"/>
  <c r="E274" i="4" l="1"/>
  <c r="I274" i="4"/>
  <c r="J274" i="4"/>
  <c r="K274" i="4"/>
  <c r="G274" i="4" l="1"/>
  <c r="F274" i="4"/>
  <c r="H275" i="4" s="1"/>
  <c r="E275" i="4"/>
  <c r="K275" i="4" l="1"/>
  <c r="J275" i="4"/>
  <c r="I275" i="4"/>
  <c r="F275" i="4"/>
  <c r="E276" i="4" s="1"/>
  <c r="G275" i="4"/>
  <c r="H276" i="4" l="1"/>
  <c r="F276" i="4"/>
  <c r="E277" i="4" s="1"/>
  <c r="G276" i="4"/>
  <c r="H277" i="4"/>
  <c r="K277" i="4" l="1"/>
  <c r="J277" i="4"/>
  <c r="I277" i="4"/>
  <c r="F277" i="4"/>
  <c r="H278" i="4" s="1"/>
  <c r="G277" i="4"/>
  <c r="J276" i="4"/>
  <c r="K276" i="4"/>
  <c r="I276" i="4"/>
  <c r="I278" i="4" l="1"/>
  <c r="K278" i="4"/>
  <c r="J278" i="4"/>
  <c r="E278" i="4"/>
  <c r="F278" i="4" l="1"/>
  <c r="H279" i="4" s="1"/>
  <c r="G278" i="4"/>
  <c r="E279" i="4"/>
  <c r="F279" i="4" l="1"/>
  <c r="E280" i="4" s="1"/>
  <c r="G279" i="4"/>
  <c r="H280" i="4"/>
  <c r="I279" i="4"/>
  <c r="K279" i="4"/>
  <c r="J279" i="4"/>
  <c r="I280" i="4" l="1"/>
  <c r="J280" i="4"/>
  <c r="K280" i="4"/>
  <c r="F280" i="4"/>
  <c r="H281" i="4" s="1"/>
  <c r="G280" i="4"/>
  <c r="E281" i="4"/>
  <c r="F281" i="4" l="1"/>
  <c r="G281" i="4"/>
  <c r="H282" i="4"/>
  <c r="E282" i="4"/>
  <c r="J281" i="4"/>
  <c r="I281" i="4"/>
  <c r="K281" i="4"/>
  <c r="I282" i="4" l="1"/>
  <c r="K282" i="4"/>
  <c r="J282" i="4"/>
  <c r="G282" i="4"/>
  <c r="F282" i="4"/>
  <c r="E283" i="4" s="1"/>
  <c r="H283" i="4" l="1"/>
  <c r="G283" i="4"/>
  <c r="F283" i="4"/>
  <c r="E284" i="4" s="1"/>
  <c r="H284" i="4" l="1"/>
  <c r="G284" i="4"/>
  <c r="F284" i="4"/>
  <c r="E285" i="4" s="1"/>
  <c r="K284" i="4"/>
  <c r="I284" i="4"/>
  <c r="J284" i="4"/>
  <c r="K283" i="4"/>
  <c r="J283" i="4"/>
  <c r="I283" i="4"/>
  <c r="H285" i="4" l="1"/>
  <c r="F285" i="4"/>
  <c r="E286" i="4" s="1"/>
  <c r="G285" i="4"/>
  <c r="H286" i="4"/>
  <c r="K286" i="4" l="1"/>
  <c r="I286" i="4"/>
  <c r="J286" i="4"/>
  <c r="F286" i="4"/>
  <c r="H287" i="4" s="1"/>
  <c r="G286" i="4"/>
  <c r="I285" i="4"/>
  <c r="J285" i="4"/>
  <c r="K285" i="4"/>
  <c r="E287" i="4" l="1"/>
  <c r="I287" i="4"/>
  <c r="K287" i="4"/>
  <c r="J287" i="4"/>
  <c r="G287" i="4" l="1"/>
  <c r="F287" i="4"/>
  <c r="H288" i="4" s="1"/>
  <c r="E288" i="4"/>
  <c r="G288" i="4" l="1"/>
  <c r="F288" i="4"/>
  <c r="H289" i="4" s="1"/>
  <c r="I288" i="4"/>
  <c r="J288" i="4"/>
  <c r="K288" i="4"/>
  <c r="K289" i="4" l="1"/>
  <c r="I289" i="4"/>
  <c r="I297" i="4" s="1"/>
  <c r="J289" i="4"/>
  <c r="I298" i="4" s="1"/>
  <c r="E289" i="4"/>
  <c r="G289" i="4" l="1"/>
  <c r="F289" i="4"/>
  <c r="H293" i="4" s="1"/>
  <c r="H291" i="4"/>
  <c r="H290" i="4"/>
  <c r="H292" i="4" l="1"/>
</calcChain>
</file>

<file path=xl/sharedStrings.xml><?xml version="1.0" encoding="utf-8"?>
<sst xmlns="http://schemas.openxmlformats.org/spreadsheetml/2006/main" count="70" uniqueCount="33">
  <si>
    <t>IPC.Transporte</t>
  </si>
  <si>
    <t>L</t>
  </si>
  <si>
    <t>ALFA</t>
  </si>
  <si>
    <t>BETA</t>
  </si>
  <si>
    <t>GAMMA</t>
  </si>
  <si>
    <t>Yt</t>
  </si>
  <si>
    <t>t</t>
  </si>
  <si>
    <t>Lt</t>
  </si>
  <si>
    <t>Tt</t>
  </si>
  <si>
    <t>St</t>
  </si>
  <si>
    <t>Pronóstico</t>
  </si>
  <si>
    <r>
      <rPr>
        <b/>
        <sz val="10"/>
        <rFont val="Calibri"/>
        <family val="2"/>
      </rPr>
      <t xml:space="preserve">ǀ </t>
    </r>
    <r>
      <rPr>
        <b/>
        <sz val="10"/>
        <rFont val="Arial"/>
        <family val="2"/>
      </rPr>
      <t xml:space="preserve">Zt - Ft </t>
    </r>
    <r>
      <rPr>
        <b/>
        <sz val="10"/>
        <rFont val="Calibri"/>
        <family val="2"/>
      </rPr>
      <t>ǀ</t>
    </r>
  </si>
  <si>
    <r>
      <t>(Zt - Ft)</t>
    </r>
    <r>
      <rPr>
        <b/>
        <vertAlign val="superscript"/>
        <sz val="10"/>
        <rFont val="Arial"/>
        <family val="2"/>
      </rPr>
      <t>2</t>
    </r>
  </si>
  <si>
    <t>ECM total</t>
  </si>
  <si>
    <t>MAE</t>
  </si>
  <si>
    <t>RECM</t>
  </si>
  <si>
    <t>MAPE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</si>
  <si>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</si>
  <si>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</si>
  <si>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</si>
  <si>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</si>
  <si>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</si>
  <si>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</si>
  <si>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</si>
  <si>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</si>
  <si>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</si>
  <si>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</si>
  <si>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</si>
  <si>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</si>
  <si>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RSME</t>
  </si>
  <si>
    <r>
      <rPr>
        <b/>
        <sz val="10"/>
        <color theme="0"/>
        <rFont val="Calibri"/>
        <family val="2"/>
      </rPr>
      <t xml:space="preserve">ǀ </t>
    </r>
    <r>
      <rPr>
        <b/>
        <sz val="10"/>
        <color theme="0"/>
        <rFont val="Arial"/>
        <family val="2"/>
      </rPr>
      <t xml:space="preserve">Zt - Ft </t>
    </r>
    <r>
      <rPr>
        <b/>
        <sz val="10"/>
        <color theme="0"/>
        <rFont val="Calibri"/>
        <family val="2"/>
      </rPr>
      <t>ǀ</t>
    </r>
  </si>
  <si>
    <r>
      <t>(Zt - Ft)</t>
    </r>
    <r>
      <rPr>
        <b/>
        <vertAlign val="superscript"/>
        <sz val="10"/>
        <color theme="0"/>
        <rFont val="Arial"/>
        <family val="2"/>
      </rPr>
      <t>2</t>
    </r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</si>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</sst>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sz val="10"/>
      <color rgb="FF0000FF"/>
      <name val="Arial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0"/>
      <color theme="0"/>
      <name val="Calibri"/>
      <family val="2"/>
    </font>
    <font>
      <b/>
      <sz val="10"/>
      <color theme="0"/>
      <name val="Arial"/>
      <family val="2"/>
    </font>
    <font>
      <b/>
      <vertAlign val="superscript"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0" fillId="2" borderId="1" xfId="0" applyFill="1" applyBorder="1"/>
    <xf numFmtId="164" fontId="0" fillId="0" borderId="1" xfId="0" applyNumberFormat="1" applyBorder="1"/>
    <xf numFmtId="0" fontId="0" fillId="0" borderId="1" xfId="0" applyBorder="1"/>
    <xf numFmtId="0" fontId="7" fillId="3" borderId="0" xfId="0" applyFont="1" applyFill="1" applyAlignment="1">
      <alignment horizontal="center" vertical="center"/>
    </xf>
    <xf numFmtId="2" fontId="0" fillId="0" borderId="1" xfId="0" applyNumberFormat="1" applyBorder="1"/>
    <xf numFmtId="0" fontId="0" fillId="0" borderId="3" xfId="0" applyBorder="1" applyAlignment="1">
      <alignment horizontal="center"/>
    </xf>
    <xf numFmtId="164" fontId="0" fillId="0" borderId="3" xfId="0" applyNumberFormat="1" applyBorder="1"/>
    <xf numFmtId="0" fontId="0" fillId="0" borderId="3" xfId="0" applyBorder="1"/>
    <xf numFmtId="0" fontId="0" fillId="2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1" fillId="0" borderId="0" xfId="0" applyFont="1"/>
    <xf numFmtId="0" fontId="0" fillId="0" borderId="4" xfId="0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400" b="1" i="0" u="none" strike="noStrike" baseline="0"/>
              <a:t> Pronóstico del IPC en el sector transporte para los meses de sep-dic del 2024</a:t>
            </a:r>
            <a:endParaRPr lang="es-P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'Holt-Winters'!$C$5</c:f>
              <c:strCache>
                <c:ptCount val="1"/>
                <c:pt idx="0">
                  <c:v>IPC.Transporte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'Holt-Winters'!$C$7:$C$289</c:f>
              <c:numCache>
                <c:formatCode>General</c:formatCode>
                <c:ptCount val="283"/>
                <c:pt idx="0">
                  <c:v>0.7784529</c:v>
                </c:pt>
                <c:pt idx="1">
                  <c:v>0.86787800000000004</c:v>
                </c:pt>
                <c:pt idx="2">
                  <c:v>1.2115399</c:v>
                </c:pt>
                <c:pt idx="3">
                  <c:v>0.54967619999999995</c:v>
                </c:pt>
                <c:pt idx="4">
                  <c:v>0.85256200000000004</c:v>
                </c:pt>
                <c:pt idx="5">
                  <c:v>1.0038099</c:v>
                </c:pt>
                <c:pt idx="6">
                  <c:v>0.72034330000000002</c:v>
                </c:pt>
                <c:pt idx="7">
                  <c:v>0.84140800000000004</c:v>
                </c:pt>
                <c:pt idx="8">
                  <c:v>0.86095770000000005</c:v>
                </c:pt>
                <c:pt idx="9">
                  <c:v>0.77738339999999995</c:v>
                </c:pt>
                <c:pt idx="10">
                  <c:v>1.300276</c:v>
                </c:pt>
                <c:pt idx="11">
                  <c:v>0.62483759999999999</c:v>
                </c:pt>
                <c:pt idx="12">
                  <c:v>0.86946869999999998</c:v>
                </c:pt>
                <c:pt idx="13">
                  <c:v>0.92698720000000001</c:v>
                </c:pt>
                <c:pt idx="14">
                  <c:v>0.77331450000000002</c:v>
                </c:pt>
                <c:pt idx="15">
                  <c:v>0.87814970000000003</c:v>
                </c:pt>
                <c:pt idx="16">
                  <c:v>0.91537939999999995</c:v>
                </c:pt>
                <c:pt idx="17">
                  <c:v>1.0929971999999999</c:v>
                </c:pt>
                <c:pt idx="18">
                  <c:v>0.83809800000000001</c:v>
                </c:pt>
                <c:pt idx="19">
                  <c:v>0.73146710000000004</c:v>
                </c:pt>
                <c:pt idx="20">
                  <c:v>0.92971789999999999</c:v>
                </c:pt>
                <c:pt idx="21">
                  <c:v>0.86773040000000001</c:v>
                </c:pt>
                <c:pt idx="22">
                  <c:v>1.1075657999999999</c:v>
                </c:pt>
                <c:pt idx="23">
                  <c:v>1.4719572999999999</c:v>
                </c:pt>
                <c:pt idx="24">
                  <c:v>1.5053605000000001</c:v>
                </c:pt>
                <c:pt idx="25">
                  <c:v>1.4666256</c:v>
                </c:pt>
                <c:pt idx="26">
                  <c:v>1.4936126000000001</c:v>
                </c:pt>
                <c:pt idx="27">
                  <c:v>1.4946309</c:v>
                </c:pt>
                <c:pt idx="28">
                  <c:v>0.93144930000000004</c:v>
                </c:pt>
                <c:pt idx="29">
                  <c:v>1.1401554</c:v>
                </c:pt>
                <c:pt idx="30">
                  <c:v>0.71335079999999995</c:v>
                </c:pt>
                <c:pt idx="31">
                  <c:v>0.83787670000000003</c:v>
                </c:pt>
                <c:pt idx="32">
                  <c:v>0.79299339999999996</c:v>
                </c:pt>
                <c:pt idx="33">
                  <c:v>0.88574470000000005</c:v>
                </c:pt>
                <c:pt idx="34">
                  <c:v>1.1691601</c:v>
                </c:pt>
                <c:pt idx="35">
                  <c:v>0.60986050000000003</c:v>
                </c:pt>
                <c:pt idx="36">
                  <c:v>0.87575550000000002</c:v>
                </c:pt>
                <c:pt idx="37">
                  <c:v>0.93018369999999995</c:v>
                </c:pt>
                <c:pt idx="38">
                  <c:v>0.84773489999999996</c:v>
                </c:pt>
                <c:pt idx="39">
                  <c:v>0.78679299999999996</c:v>
                </c:pt>
                <c:pt idx="40">
                  <c:v>0.8902021</c:v>
                </c:pt>
                <c:pt idx="41">
                  <c:v>1.1610157000000001</c:v>
                </c:pt>
                <c:pt idx="42">
                  <c:v>0.76100469999999998</c:v>
                </c:pt>
                <c:pt idx="43">
                  <c:v>0.97222500000000001</c:v>
                </c:pt>
                <c:pt idx="44">
                  <c:v>1.1238497999999999</c:v>
                </c:pt>
                <c:pt idx="45">
                  <c:v>1.35527</c:v>
                </c:pt>
                <c:pt idx="46">
                  <c:v>1.2630923999999999</c:v>
                </c:pt>
                <c:pt idx="47">
                  <c:v>0.77347060000000001</c:v>
                </c:pt>
                <c:pt idx="48">
                  <c:v>0.7709222</c:v>
                </c:pt>
                <c:pt idx="49">
                  <c:v>1.0651972000000001</c:v>
                </c:pt>
                <c:pt idx="50">
                  <c:v>0.7847094</c:v>
                </c:pt>
                <c:pt idx="51">
                  <c:v>0.93461819999999995</c:v>
                </c:pt>
                <c:pt idx="52">
                  <c:v>0.90339769999999997</c:v>
                </c:pt>
                <c:pt idx="53">
                  <c:v>1.1457166000000001</c:v>
                </c:pt>
                <c:pt idx="54">
                  <c:v>0.77390159999999997</c:v>
                </c:pt>
                <c:pt idx="55">
                  <c:v>0.93227099999999996</c:v>
                </c:pt>
                <c:pt idx="56">
                  <c:v>0.96015099999999998</c:v>
                </c:pt>
                <c:pt idx="57">
                  <c:v>1.0596341</c:v>
                </c:pt>
                <c:pt idx="58">
                  <c:v>1.2593139</c:v>
                </c:pt>
                <c:pt idx="59">
                  <c:v>0.64057059999999999</c:v>
                </c:pt>
                <c:pt idx="60">
                  <c:v>0.8394064</c:v>
                </c:pt>
                <c:pt idx="61">
                  <c:v>0.91925299999999999</c:v>
                </c:pt>
                <c:pt idx="62">
                  <c:v>1.0581867</c:v>
                </c:pt>
                <c:pt idx="63">
                  <c:v>0.78663810000000001</c:v>
                </c:pt>
                <c:pt idx="64">
                  <c:v>0.90481829999999996</c:v>
                </c:pt>
                <c:pt idx="65">
                  <c:v>1.2165193999999999</c:v>
                </c:pt>
                <c:pt idx="66">
                  <c:v>0.5366168</c:v>
                </c:pt>
                <c:pt idx="67">
                  <c:v>0.93222700000000003</c:v>
                </c:pt>
                <c:pt idx="68">
                  <c:v>0.7936706</c:v>
                </c:pt>
                <c:pt idx="69">
                  <c:v>0.96752749999999998</c:v>
                </c:pt>
                <c:pt idx="70">
                  <c:v>1.2630627000000001</c:v>
                </c:pt>
                <c:pt idx="71">
                  <c:v>0.51210940000000005</c:v>
                </c:pt>
                <c:pt idx="72">
                  <c:v>0.88599470000000002</c:v>
                </c:pt>
                <c:pt idx="73">
                  <c:v>0.83565929999999999</c:v>
                </c:pt>
                <c:pt idx="74">
                  <c:v>0.96600790000000003</c:v>
                </c:pt>
                <c:pt idx="75">
                  <c:v>0.75342480000000001</c:v>
                </c:pt>
                <c:pt idx="76">
                  <c:v>0.87595339999999999</c:v>
                </c:pt>
                <c:pt idx="77">
                  <c:v>1.2029947000000001</c:v>
                </c:pt>
                <c:pt idx="78">
                  <c:v>0.71473209999999998</c:v>
                </c:pt>
                <c:pt idx="79">
                  <c:v>0.76483959999999995</c:v>
                </c:pt>
                <c:pt idx="80">
                  <c:v>0.90532579999999996</c:v>
                </c:pt>
                <c:pt idx="81">
                  <c:v>0.926929</c:v>
                </c:pt>
                <c:pt idx="82">
                  <c:v>1.3558037000000001</c:v>
                </c:pt>
                <c:pt idx="83">
                  <c:v>0.50282459999999995</c:v>
                </c:pt>
                <c:pt idx="84">
                  <c:v>0.84893430000000003</c:v>
                </c:pt>
                <c:pt idx="85">
                  <c:v>1.0201302999999999</c:v>
                </c:pt>
                <c:pt idx="86">
                  <c:v>0.76738620000000002</c:v>
                </c:pt>
                <c:pt idx="87">
                  <c:v>1.0480763</c:v>
                </c:pt>
                <c:pt idx="88">
                  <c:v>1.0847640999999999</c:v>
                </c:pt>
                <c:pt idx="89">
                  <c:v>1.1708555</c:v>
                </c:pt>
                <c:pt idx="90">
                  <c:v>1.107246</c:v>
                </c:pt>
                <c:pt idx="91">
                  <c:v>1.7185979</c:v>
                </c:pt>
                <c:pt idx="92">
                  <c:v>1.1069751999999999</c:v>
                </c:pt>
                <c:pt idx="93">
                  <c:v>0.89422330000000005</c:v>
                </c:pt>
                <c:pt idx="94">
                  <c:v>1.2082648</c:v>
                </c:pt>
                <c:pt idx="95">
                  <c:v>0.43166949999999998</c:v>
                </c:pt>
                <c:pt idx="96">
                  <c:v>0.96141500000000002</c:v>
                </c:pt>
                <c:pt idx="97">
                  <c:v>0.80103590000000002</c:v>
                </c:pt>
                <c:pt idx="98">
                  <c:v>0.90329789999999999</c:v>
                </c:pt>
                <c:pt idx="99">
                  <c:v>0.65738890000000005</c:v>
                </c:pt>
                <c:pt idx="100">
                  <c:v>0.86914979999999997</c:v>
                </c:pt>
                <c:pt idx="101">
                  <c:v>1.1078174999999999</c:v>
                </c:pt>
                <c:pt idx="102">
                  <c:v>0.74208819999999998</c:v>
                </c:pt>
                <c:pt idx="103">
                  <c:v>0.76571350000000005</c:v>
                </c:pt>
                <c:pt idx="104">
                  <c:v>0.82924799999999999</c:v>
                </c:pt>
                <c:pt idx="105">
                  <c:v>0.85895750000000004</c:v>
                </c:pt>
                <c:pt idx="106">
                  <c:v>1.3070767999999999</c:v>
                </c:pt>
                <c:pt idx="107">
                  <c:v>0.63703960000000004</c:v>
                </c:pt>
                <c:pt idx="108">
                  <c:v>0.82878189999999996</c:v>
                </c:pt>
                <c:pt idx="109">
                  <c:v>0.97343729999999995</c:v>
                </c:pt>
                <c:pt idx="110">
                  <c:v>0.69242409999999999</c:v>
                </c:pt>
                <c:pt idx="111">
                  <c:v>0.9955463</c:v>
                </c:pt>
                <c:pt idx="112">
                  <c:v>0.89124479999999995</c:v>
                </c:pt>
                <c:pt idx="113">
                  <c:v>1.1423714</c:v>
                </c:pt>
                <c:pt idx="114">
                  <c:v>0.79635719999999999</c:v>
                </c:pt>
                <c:pt idx="115">
                  <c:v>0.82274809999999998</c:v>
                </c:pt>
                <c:pt idx="116">
                  <c:v>0.9839871</c:v>
                </c:pt>
                <c:pt idx="117">
                  <c:v>0.70030740000000002</c:v>
                </c:pt>
                <c:pt idx="118">
                  <c:v>1.5329537</c:v>
                </c:pt>
                <c:pt idx="119">
                  <c:v>0.49535430000000003</c:v>
                </c:pt>
                <c:pt idx="120">
                  <c:v>0.912582</c:v>
                </c:pt>
                <c:pt idx="121">
                  <c:v>0.97160519999999995</c:v>
                </c:pt>
                <c:pt idx="122">
                  <c:v>0.9826454</c:v>
                </c:pt>
                <c:pt idx="123">
                  <c:v>0.78014720000000004</c:v>
                </c:pt>
                <c:pt idx="124">
                  <c:v>0.95477069999999997</c:v>
                </c:pt>
                <c:pt idx="125">
                  <c:v>1.1117946000000001</c:v>
                </c:pt>
                <c:pt idx="126">
                  <c:v>0.89367509999999994</c:v>
                </c:pt>
                <c:pt idx="127">
                  <c:v>1.1523606</c:v>
                </c:pt>
                <c:pt idx="128">
                  <c:v>0.90874770000000005</c:v>
                </c:pt>
                <c:pt idx="129">
                  <c:v>0.93674619999999997</c:v>
                </c:pt>
                <c:pt idx="130">
                  <c:v>1.5275261</c:v>
                </c:pt>
                <c:pt idx="131">
                  <c:v>0.51646259999999999</c:v>
                </c:pt>
                <c:pt idx="132">
                  <c:v>0.79135650000000002</c:v>
                </c:pt>
                <c:pt idx="133">
                  <c:v>0.86675690000000005</c:v>
                </c:pt>
                <c:pt idx="134">
                  <c:v>1.0572655</c:v>
                </c:pt>
                <c:pt idx="135">
                  <c:v>0.81036949999999996</c:v>
                </c:pt>
                <c:pt idx="136">
                  <c:v>0.8643575</c:v>
                </c:pt>
                <c:pt idx="137">
                  <c:v>1.0934978</c:v>
                </c:pt>
                <c:pt idx="138">
                  <c:v>0.83738999999999997</c:v>
                </c:pt>
                <c:pt idx="139">
                  <c:v>0.86395270000000002</c:v>
                </c:pt>
                <c:pt idx="140">
                  <c:v>0.80189560000000004</c:v>
                </c:pt>
                <c:pt idx="141">
                  <c:v>0.86008470000000004</c:v>
                </c:pt>
                <c:pt idx="142">
                  <c:v>1.5246206</c:v>
                </c:pt>
                <c:pt idx="143">
                  <c:v>0.79151280000000002</c:v>
                </c:pt>
                <c:pt idx="144">
                  <c:v>0.99538479999999996</c:v>
                </c:pt>
                <c:pt idx="145">
                  <c:v>1.0879566000000001</c:v>
                </c:pt>
                <c:pt idx="146">
                  <c:v>0.62947679999999995</c:v>
                </c:pt>
                <c:pt idx="147">
                  <c:v>0.9786918</c:v>
                </c:pt>
                <c:pt idx="148">
                  <c:v>0.93605559999999999</c:v>
                </c:pt>
                <c:pt idx="149">
                  <c:v>1.1669643000000001</c:v>
                </c:pt>
                <c:pt idx="150">
                  <c:v>0.89122619999999997</c:v>
                </c:pt>
                <c:pt idx="151">
                  <c:v>0.86880789999999997</c:v>
                </c:pt>
                <c:pt idx="152">
                  <c:v>0.88956550000000001</c:v>
                </c:pt>
                <c:pt idx="153">
                  <c:v>1.0982025</c:v>
                </c:pt>
                <c:pt idx="154">
                  <c:v>1.4995546</c:v>
                </c:pt>
                <c:pt idx="155">
                  <c:v>0.51416600000000001</c:v>
                </c:pt>
                <c:pt idx="156">
                  <c:v>0.96472089999999999</c:v>
                </c:pt>
                <c:pt idx="157">
                  <c:v>0.84565199999999996</c:v>
                </c:pt>
                <c:pt idx="158">
                  <c:v>1.0111873</c:v>
                </c:pt>
                <c:pt idx="159">
                  <c:v>0.86535280000000003</c:v>
                </c:pt>
                <c:pt idx="160">
                  <c:v>0.90903460000000003</c:v>
                </c:pt>
                <c:pt idx="161">
                  <c:v>1.1318699999999999</c:v>
                </c:pt>
                <c:pt idx="162">
                  <c:v>0.68817070000000002</c:v>
                </c:pt>
                <c:pt idx="163">
                  <c:v>0.87944670000000003</c:v>
                </c:pt>
                <c:pt idx="164">
                  <c:v>0.88707429999999998</c:v>
                </c:pt>
                <c:pt idx="165">
                  <c:v>0.96048489999999997</c:v>
                </c:pt>
                <c:pt idx="166">
                  <c:v>1.5526754</c:v>
                </c:pt>
                <c:pt idx="167">
                  <c:v>0.50102029999999997</c:v>
                </c:pt>
                <c:pt idx="168">
                  <c:v>0.7170223</c:v>
                </c:pt>
                <c:pt idx="169">
                  <c:v>0.96619469999999996</c:v>
                </c:pt>
                <c:pt idx="170">
                  <c:v>1.0609843999999999</c:v>
                </c:pt>
                <c:pt idx="171">
                  <c:v>1.0408141</c:v>
                </c:pt>
                <c:pt idx="172">
                  <c:v>0.92291429999999997</c:v>
                </c:pt>
                <c:pt idx="173">
                  <c:v>1.3249188999999999</c:v>
                </c:pt>
                <c:pt idx="174">
                  <c:v>0.60194859999999994</c:v>
                </c:pt>
                <c:pt idx="175">
                  <c:v>0.80174080000000003</c:v>
                </c:pt>
                <c:pt idx="176">
                  <c:v>0.89767140000000001</c:v>
                </c:pt>
                <c:pt idx="177">
                  <c:v>0.86541239999999997</c:v>
                </c:pt>
                <c:pt idx="178">
                  <c:v>1.5415076000000001</c:v>
                </c:pt>
                <c:pt idx="179">
                  <c:v>0.31880320000000001</c:v>
                </c:pt>
                <c:pt idx="180">
                  <c:v>0.96300169999999996</c:v>
                </c:pt>
                <c:pt idx="181">
                  <c:v>0.92197499999999999</c:v>
                </c:pt>
                <c:pt idx="182">
                  <c:v>0.6582789</c:v>
                </c:pt>
                <c:pt idx="183">
                  <c:v>0.96352510000000002</c:v>
                </c:pt>
                <c:pt idx="184">
                  <c:v>0.75374859999999999</c:v>
                </c:pt>
                <c:pt idx="185">
                  <c:v>1.0376563999999999</c:v>
                </c:pt>
                <c:pt idx="186">
                  <c:v>0.79283959999999998</c:v>
                </c:pt>
                <c:pt idx="187">
                  <c:v>0.86803920000000001</c:v>
                </c:pt>
                <c:pt idx="188">
                  <c:v>0.96346690000000001</c:v>
                </c:pt>
                <c:pt idx="189">
                  <c:v>1.071761</c:v>
                </c:pt>
                <c:pt idx="190">
                  <c:v>1.4402488</c:v>
                </c:pt>
                <c:pt idx="191">
                  <c:v>0.51503829999999995</c:v>
                </c:pt>
                <c:pt idx="192">
                  <c:v>0.84313139999999998</c:v>
                </c:pt>
                <c:pt idx="193">
                  <c:v>0.87565669999999995</c:v>
                </c:pt>
                <c:pt idx="194">
                  <c:v>0.93733829999999996</c:v>
                </c:pt>
                <c:pt idx="195">
                  <c:v>0.77624210000000005</c:v>
                </c:pt>
                <c:pt idx="196">
                  <c:v>0.86029219999999995</c:v>
                </c:pt>
                <c:pt idx="197">
                  <c:v>1.0027936</c:v>
                </c:pt>
                <c:pt idx="198">
                  <c:v>0.8587108</c:v>
                </c:pt>
                <c:pt idx="199">
                  <c:v>0.75229100000000004</c:v>
                </c:pt>
                <c:pt idx="200">
                  <c:v>0.85844410000000004</c:v>
                </c:pt>
                <c:pt idx="201">
                  <c:v>0.88748119999999997</c:v>
                </c:pt>
                <c:pt idx="202">
                  <c:v>1.4362372999999999</c:v>
                </c:pt>
                <c:pt idx="203">
                  <c:v>0.45200000000000001</c:v>
                </c:pt>
                <c:pt idx="204">
                  <c:v>0.84084890000000001</c:v>
                </c:pt>
                <c:pt idx="205">
                  <c:v>0.9674258</c:v>
                </c:pt>
                <c:pt idx="206">
                  <c:v>0.68267420000000001</c:v>
                </c:pt>
                <c:pt idx="207">
                  <c:v>1.0057117</c:v>
                </c:pt>
                <c:pt idx="208">
                  <c:v>0.97813919999999999</c:v>
                </c:pt>
                <c:pt idx="209">
                  <c:v>1.2238416999999999</c:v>
                </c:pt>
                <c:pt idx="210">
                  <c:v>0.8846214</c:v>
                </c:pt>
                <c:pt idx="211">
                  <c:v>0.79206449999999995</c:v>
                </c:pt>
                <c:pt idx="212">
                  <c:v>0.86335110000000004</c:v>
                </c:pt>
                <c:pt idx="213">
                  <c:v>0.87564969999999998</c:v>
                </c:pt>
                <c:pt idx="214">
                  <c:v>1.4589265</c:v>
                </c:pt>
                <c:pt idx="215">
                  <c:v>0.4715396</c:v>
                </c:pt>
                <c:pt idx="216">
                  <c:v>0.79450030000000005</c:v>
                </c:pt>
                <c:pt idx="217">
                  <c:v>0.92958529999999995</c:v>
                </c:pt>
                <c:pt idx="218">
                  <c:v>0.91764009999999996</c:v>
                </c:pt>
                <c:pt idx="219">
                  <c:v>0.88281569999999998</c:v>
                </c:pt>
                <c:pt idx="220">
                  <c:v>0.85732900000000001</c:v>
                </c:pt>
                <c:pt idx="221">
                  <c:v>1.0969024000000001</c:v>
                </c:pt>
                <c:pt idx="222">
                  <c:v>0.83979999999999999</c:v>
                </c:pt>
                <c:pt idx="223">
                  <c:v>0.65490119999999996</c:v>
                </c:pt>
                <c:pt idx="224">
                  <c:v>1.2097971999999999</c:v>
                </c:pt>
                <c:pt idx="225">
                  <c:v>0.87029469999999998</c:v>
                </c:pt>
                <c:pt idx="226">
                  <c:v>1.4846581999999999</c:v>
                </c:pt>
                <c:pt idx="227">
                  <c:v>0.49820140000000002</c:v>
                </c:pt>
                <c:pt idx="228">
                  <c:v>0.90815020000000002</c:v>
                </c:pt>
                <c:pt idx="229">
                  <c:v>0.87216729999999998</c:v>
                </c:pt>
                <c:pt idx="230">
                  <c:v>1.2662674</c:v>
                </c:pt>
                <c:pt idx="231">
                  <c:v>1.1022362000000001</c:v>
                </c:pt>
                <c:pt idx="232">
                  <c:v>0.88432860000000002</c:v>
                </c:pt>
                <c:pt idx="233">
                  <c:v>0.80637460000000005</c:v>
                </c:pt>
                <c:pt idx="234">
                  <c:v>0.86016669999999995</c:v>
                </c:pt>
                <c:pt idx="235">
                  <c:v>0.86195319999999997</c:v>
                </c:pt>
                <c:pt idx="236">
                  <c:v>0.86103430000000003</c:v>
                </c:pt>
                <c:pt idx="237">
                  <c:v>0.91286869999999998</c:v>
                </c:pt>
                <c:pt idx="238">
                  <c:v>1.3584147</c:v>
                </c:pt>
                <c:pt idx="239">
                  <c:v>0.49129859999999997</c:v>
                </c:pt>
                <c:pt idx="240">
                  <c:v>0.95132039999999995</c:v>
                </c:pt>
                <c:pt idx="241">
                  <c:v>0.85920370000000001</c:v>
                </c:pt>
                <c:pt idx="242">
                  <c:v>0.96893339999999994</c:v>
                </c:pt>
                <c:pt idx="243">
                  <c:v>0.99824360000000001</c:v>
                </c:pt>
                <c:pt idx="244">
                  <c:v>0.9537487</c:v>
                </c:pt>
                <c:pt idx="245">
                  <c:v>1.094959</c:v>
                </c:pt>
                <c:pt idx="246">
                  <c:v>1.066263</c:v>
                </c:pt>
                <c:pt idx="247">
                  <c:v>0.9224736</c:v>
                </c:pt>
                <c:pt idx="248">
                  <c:v>1.1955007</c:v>
                </c:pt>
                <c:pt idx="249">
                  <c:v>0.91842990000000002</c:v>
                </c:pt>
                <c:pt idx="250">
                  <c:v>1.6798564</c:v>
                </c:pt>
                <c:pt idx="251">
                  <c:v>0.174234</c:v>
                </c:pt>
                <c:pt idx="252">
                  <c:v>0.76704830000000002</c:v>
                </c:pt>
                <c:pt idx="253">
                  <c:v>1.2798445000000001</c:v>
                </c:pt>
                <c:pt idx="254">
                  <c:v>1.2588718000000001</c:v>
                </c:pt>
                <c:pt idx="255">
                  <c:v>1.4204827</c:v>
                </c:pt>
                <c:pt idx="256">
                  <c:v>1.7083609</c:v>
                </c:pt>
                <c:pt idx="257">
                  <c:v>1.6177002</c:v>
                </c:pt>
                <c:pt idx="258">
                  <c:v>0.75922970000000001</c:v>
                </c:pt>
                <c:pt idx="259">
                  <c:v>1.0018289</c:v>
                </c:pt>
                <c:pt idx="260">
                  <c:v>1.3677272</c:v>
                </c:pt>
                <c:pt idx="261">
                  <c:v>0.94914140000000002</c:v>
                </c:pt>
                <c:pt idx="262">
                  <c:v>1.4303022999999999</c:v>
                </c:pt>
                <c:pt idx="263">
                  <c:v>0.49554409999999999</c:v>
                </c:pt>
                <c:pt idx="264">
                  <c:v>0.89956210000000003</c:v>
                </c:pt>
                <c:pt idx="265">
                  <c:v>0.79408509999999999</c:v>
                </c:pt>
                <c:pt idx="266">
                  <c:v>1.0480602999999999</c:v>
                </c:pt>
                <c:pt idx="267">
                  <c:v>0.85503439999999997</c:v>
                </c:pt>
                <c:pt idx="268">
                  <c:v>0.9295911</c:v>
                </c:pt>
                <c:pt idx="269">
                  <c:v>1.1298668000000001</c:v>
                </c:pt>
                <c:pt idx="270">
                  <c:v>0.96127689999999999</c:v>
                </c:pt>
                <c:pt idx="271">
                  <c:v>1.0369086000000001</c:v>
                </c:pt>
                <c:pt idx="272">
                  <c:v>1.0151774</c:v>
                </c:pt>
                <c:pt idx="273">
                  <c:v>0.77437750000000005</c:v>
                </c:pt>
                <c:pt idx="274">
                  <c:v>1.4667574000000001</c:v>
                </c:pt>
                <c:pt idx="275">
                  <c:v>0.75480849999999999</c:v>
                </c:pt>
                <c:pt idx="276">
                  <c:v>1.0376571999999999</c:v>
                </c:pt>
                <c:pt idx="277">
                  <c:v>1.1706348</c:v>
                </c:pt>
                <c:pt idx="278">
                  <c:v>0.9327841</c:v>
                </c:pt>
                <c:pt idx="279">
                  <c:v>0.92523040000000001</c:v>
                </c:pt>
                <c:pt idx="280">
                  <c:v>0.97982179999999997</c:v>
                </c:pt>
                <c:pt idx="281">
                  <c:v>1.0994558999999999</c:v>
                </c:pt>
                <c:pt idx="282">
                  <c:v>0.81102169999999996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55-41A6-9499-A0F4A0C182F7}"/>
            </c:ext>
          </c:extLst>
        </c:ser>
        <c:ser>
          <c:idx val="1"/>
          <c:order val="1"/>
          <c:tx>
            <c:strRef>
              <c:f>'Holt-Winters'!$H$6</c:f>
              <c:strCache>
                <c:ptCount val="1"/>
                <c:pt idx="0">
                  <c:v>Pronóstico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'Holt-Winters'!$H$7:$H$293</c:f>
              <c:numCache>
                <c:formatCode>General</c:formatCode>
                <c:ptCount val="287"/>
                <c:pt idx="12" formatCode="0.000">
                  <c:v>0.86292859166666647</c:v>
                </c:pt>
                <c:pt idx="13" formatCode="0.000">
                  <c:v>1.0393110715207465</c:v>
                </c:pt>
                <c:pt idx="14" formatCode="0.000">
                  <c:v>1.4249362039708853</c:v>
                </c:pt>
                <c:pt idx="15" formatCode="0.000">
                  <c:v>0.59851335711956144</c:v>
                </c:pt>
                <c:pt idx="16" formatCode="0.000">
                  <c:v>1.0792930973534114</c:v>
                </c:pt>
                <c:pt idx="17" formatCode="0.000">
                  <c:v>1.2448126787854537</c:v>
                </c:pt>
                <c:pt idx="18" formatCode="0.000">
                  <c:v>0.97746185158611087</c:v>
                </c:pt>
                <c:pt idx="19" formatCode="0.000">
                  <c:v>1.1168232457455429</c:v>
                </c:pt>
                <c:pt idx="20" formatCode="0.000">
                  <c:v>1.0589909220716889</c:v>
                </c:pt>
                <c:pt idx="21" formatCode="0.000">
                  <c:v>0.98874975293447187</c:v>
                </c:pt>
                <c:pt idx="22" formatCode="0.000">
                  <c:v>1.5259411997612324</c:v>
                </c:pt>
                <c:pt idx="23" formatCode="0.000">
                  <c:v>0.74994000060773192</c:v>
                </c:pt>
                <c:pt idx="24" formatCode="0.000">
                  <c:v>1.2297602611764979</c:v>
                </c:pt>
                <c:pt idx="25" formatCode="0.000">
                  <c:v>1.4679851370317736</c:v>
                </c:pt>
                <c:pt idx="26" formatCode="0.000">
                  <c:v>1.7925563892200966</c:v>
                </c:pt>
                <c:pt idx="27" formatCode="0.000">
                  <c:v>1.2344547216778505</c:v>
                </c:pt>
                <c:pt idx="28" formatCode="0.000">
                  <c:v>1.6278119081524307</c:v>
                </c:pt>
                <c:pt idx="29" formatCode="0.000">
                  <c:v>1.5839865838522811</c:v>
                </c:pt>
                <c:pt idx="30" formatCode="0.000">
                  <c:v>1.1896594105880001</c:v>
                </c:pt>
                <c:pt idx="31" formatCode="0.000">
                  <c:v>1.1386624872310713</c:v>
                </c:pt>
                <c:pt idx="32" formatCode="0.000">
                  <c:v>1.1252776248817189</c:v>
                </c:pt>
                <c:pt idx="33" formatCode="0.000">
                  <c:v>0.95203814425178013</c:v>
                </c:pt>
                <c:pt idx="34" formatCode="0.000">
                  <c:v>1.431626665636154</c:v>
                </c:pt>
                <c:pt idx="35" formatCode="0.000">
                  <c:v>0.86786947448996377</c:v>
                </c:pt>
                <c:pt idx="36" formatCode="0.000">
                  <c:v>0.87707153078363176</c:v>
                </c:pt>
                <c:pt idx="37" formatCode="0.000">
                  <c:v>0.92222756107386405</c:v>
                </c:pt>
                <c:pt idx="38" formatCode="0.000">
                  <c:v>1.1543953696557456</c:v>
                </c:pt>
                <c:pt idx="39" formatCode="0.000">
                  <c:v>0.63495128040273918</c:v>
                </c:pt>
                <c:pt idx="40" formatCode="0.000">
                  <c:v>0.78562882672113155</c:v>
                </c:pt>
                <c:pt idx="41" formatCode="0.000">
                  <c:v>1.0362052650054652</c:v>
                </c:pt>
                <c:pt idx="42" formatCode="0.000">
                  <c:v>0.81585565202995602</c:v>
                </c:pt>
                <c:pt idx="43" formatCode="0.000">
                  <c:v>0.92586665651155353</c:v>
                </c:pt>
                <c:pt idx="44" formatCode="0.000">
                  <c:v>1.0191584515452301</c:v>
                </c:pt>
                <c:pt idx="45" formatCode="0.000">
                  <c:v>1.0402005921128974</c:v>
                </c:pt>
                <c:pt idx="46" formatCode="0.000">
                  <c:v>1.6261848758994188</c:v>
                </c:pt>
                <c:pt idx="47" formatCode="0.000">
                  <c:v>1.0244900282154576</c:v>
                </c:pt>
                <c:pt idx="48" formatCode="0.000">
                  <c:v>1.0753482729581874</c:v>
                </c:pt>
                <c:pt idx="49" formatCode="0.000">
                  <c:v>1.0049356299670669</c:v>
                </c:pt>
                <c:pt idx="50" formatCode="0.000">
                  <c:v>1.1993865834256219</c:v>
                </c:pt>
                <c:pt idx="51" formatCode="0.000">
                  <c:v>0.70623227535504263</c:v>
                </c:pt>
                <c:pt idx="52" formatCode="0.000">
                  <c:v>0.87032484873939409</c:v>
                </c:pt>
                <c:pt idx="53" formatCode="0.000">
                  <c:v>1.0902465789896401</c:v>
                </c:pt>
                <c:pt idx="54" formatCode="0.000">
                  <c:v>0.80681110477517648</c:v>
                </c:pt>
                <c:pt idx="55" formatCode="0.000">
                  <c:v>0.9322479659297821</c:v>
                </c:pt>
                <c:pt idx="56" formatCode="0.000">
                  <c:v>1.0085502241702662</c:v>
                </c:pt>
                <c:pt idx="57" formatCode="0.000">
                  <c:v>0.99569701066163763</c:v>
                </c:pt>
                <c:pt idx="58" formatCode="0.000">
                  <c:v>1.3655453872951719</c:v>
                </c:pt>
                <c:pt idx="59" formatCode="0.000">
                  <c:v>0.86297792497625325</c:v>
                </c:pt>
                <c:pt idx="60" formatCode="0.000">
                  <c:v>0.90412334160830032</c:v>
                </c:pt>
                <c:pt idx="61" formatCode="0.000">
                  <c:v>0.9716187009684103</c:v>
                </c:pt>
                <c:pt idx="62" formatCode="0.000">
                  <c:v>1.0396683518900487</c:v>
                </c:pt>
                <c:pt idx="63" formatCode="0.000">
                  <c:v>0.80460726738008947</c:v>
                </c:pt>
                <c:pt idx="64" formatCode="0.000">
                  <c:v>0.84176278439987173</c:v>
                </c:pt>
                <c:pt idx="65" formatCode="0.000">
                  <c:v>1.0703862534978823</c:v>
                </c:pt>
                <c:pt idx="66" formatCode="0.000">
                  <c:v>0.8014180860154887</c:v>
                </c:pt>
                <c:pt idx="67" formatCode="0.000">
                  <c:v>0.83989758312744756</c:v>
                </c:pt>
                <c:pt idx="68" formatCode="0.000">
                  <c:v>0.93533109657531166</c:v>
                </c:pt>
                <c:pt idx="69" formatCode="0.000">
                  <c:v>0.89851777658095455</c:v>
                </c:pt>
                <c:pt idx="70" formatCode="0.000">
                  <c:v>1.2348585992132588</c:v>
                </c:pt>
                <c:pt idx="71" formatCode="0.000">
                  <c:v>0.75661367695524673</c:v>
                </c:pt>
                <c:pt idx="72" formatCode="0.000">
                  <c:v>0.80885000006592178</c:v>
                </c:pt>
                <c:pt idx="73" formatCode="0.000">
                  <c:v>0.9259768280859545</c:v>
                </c:pt>
                <c:pt idx="74" formatCode="0.000">
                  <c:v>0.98718907812359602</c:v>
                </c:pt>
                <c:pt idx="75" formatCode="0.000">
                  <c:v>0.72677500845922705</c:v>
                </c:pt>
                <c:pt idx="76" formatCode="0.000">
                  <c:v>0.78874997904362143</c:v>
                </c:pt>
                <c:pt idx="77" formatCode="0.000">
                  <c:v>1.035501870027532</c:v>
                </c:pt>
                <c:pt idx="78" formatCode="0.000">
                  <c:v>0.70479654879026254</c:v>
                </c:pt>
                <c:pt idx="79" formatCode="0.000">
                  <c:v>0.90119763791981977</c:v>
                </c:pt>
                <c:pt idx="80" formatCode="0.000">
                  <c:v>0.87334565038149836</c:v>
                </c:pt>
                <c:pt idx="81" formatCode="0.000">
                  <c:v>0.93337976959589697</c:v>
                </c:pt>
                <c:pt idx="82" formatCode="0.000">
                  <c:v>1.2346317628705157</c:v>
                </c:pt>
                <c:pt idx="83" formatCode="0.000">
                  <c:v>0.74676043111562818</c:v>
                </c:pt>
                <c:pt idx="84" formatCode="0.000">
                  <c:v>0.85116865092708716</c:v>
                </c:pt>
                <c:pt idx="85" formatCode="0.000">
                  <c:v>0.91171390484219694</c:v>
                </c:pt>
                <c:pt idx="86" formatCode="0.000">
                  <c:v>1.0584836124387882</c:v>
                </c:pt>
                <c:pt idx="87" formatCode="0.000">
                  <c:v>0.70570846764037976</c:v>
                </c:pt>
                <c:pt idx="88" formatCode="0.000">
                  <c:v>0.89506233061172247</c:v>
                </c:pt>
                <c:pt idx="89" formatCode="0.000">
                  <c:v>1.196740396993528</c:v>
                </c:pt>
                <c:pt idx="90" formatCode="0.000">
                  <c:v>0.77226916727382211</c:v>
                </c:pt>
                <c:pt idx="91" formatCode="0.000">
                  <c:v>1.0701876272510109</c:v>
                </c:pt>
                <c:pt idx="92" formatCode="0.000">
                  <c:v>1.374195694123644</c:v>
                </c:pt>
                <c:pt idx="93" formatCode="0.000">
                  <c:v>1.3347663743329734</c:v>
                </c:pt>
                <c:pt idx="94" formatCode="0.000">
                  <c:v>1.5069815667873354</c:v>
                </c:pt>
                <c:pt idx="95" formatCode="0.000">
                  <c:v>0.8091824040538349</c:v>
                </c:pt>
                <c:pt idx="96" formatCode="0.000">
                  <c:v>0.90256833992257213</c:v>
                </c:pt>
                <c:pt idx="97" formatCode="0.000">
                  <c:v>1.0027040275377102</c:v>
                </c:pt>
                <c:pt idx="98" formatCode="0.000">
                  <c:v>0.96744425192909667</c:v>
                </c:pt>
                <c:pt idx="99" formatCode="0.000">
                  <c:v>0.79685808547067594</c:v>
                </c:pt>
                <c:pt idx="100" formatCode="0.000">
                  <c:v>0.77719750015561295</c:v>
                </c:pt>
                <c:pt idx="101" formatCode="0.000">
                  <c:v>0.99744272554894964</c:v>
                </c:pt>
                <c:pt idx="102" formatCode="0.000">
                  <c:v>0.67112747177358489</c:v>
                </c:pt>
                <c:pt idx="103" formatCode="0.000">
                  <c:v>0.90999296060679069</c:v>
                </c:pt>
                <c:pt idx="104" formatCode="0.000">
                  <c:v>0.75284132843274787</c:v>
                </c:pt>
                <c:pt idx="105" formatCode="0.000">
                  <c:v>0.78917768860395776</c:v>
                </c:pt>
                <c:pt idx="106" formatCode="0.000">
                  <c:v>1.1567028941496631</c:v>
                </c:pt>
                <c:pt idx="107" formatCode="0.000">
                  <c:v>0.6041544811428704</c:v>
                </c:pt>
                <c:pt idx="108" formatCode="0.000">
                  <c:v>0.91823675173967145</c:v>
                </c:pt>
                <c:pt idx="109" formatCode="0.000">
                  <c:v>0.92220330803089423</c:v>
                </c:pt>
                <c:pt idx="110" formatCode="0.000">
                  <c:v>1.0043518185999865</c:v>
                </c:pt>
                <c:pt idx="111" formatCode="0.000">
                  <c:v>0.73129552920055607</c:v>
                </c:pt>
                <c:pt idx="112" formatCode="0.000">
                  <c:v>0.90141420076410361</c:v>
                </c:pt>
                <c:pt idx="113" formatCode="0.000">
                  <c:v>1.0921054290883696</c:v>
                </c:pt>
                <c:pt idx="114" formatCode="0.000">
                  <c:v>0.74119324999325731</c:v>
                </c:pt>
                <c:pt idx="115" formatCode="0.000">
                  <c:v>0.94307629601251752</c:v>
                </c:pt>
                <c:pt idx="116" formatCode="0.000">
                  <c:v>0.83365864771210896</c:v>
                </c:pt>
                <c:pt idx="117" formatCode="0.000">
                  <c:v>0.90064355699841681</c:v>
                </c:pt>
                <c:pt idx="118" formatCode="0.000">
                  <c:v>1.1834939730616609</c:v>
                </c:pt>
                <c:pt idx="119" formatCode="0.000">
                  <c:v>0.68802475272017638</c:v>
                </c:pt>
                <c:pt idx="120" formatCode="0.000">
                  <c:v>0.90061134531156639</c:v>
                </c:pt>
                <c:pt idx="121" formatCode="0.000">
                  <c:v>0.96555309249113219</c:v>
                </c:pt>
                <c:pt idx="122" formatCode="0.000">
                  <c:v>0.97395543628924741</c:v>
                </c:pt>
                <c:pt idx="123" formatCode="0.000">
                  <c:v>0.91581919390364597</c:v>
                </c:pt>
                <c:pt idx="124" formatCode="0.000">
                  <c:v>0.89642752046035867</c:v>
                </c:pt>
                <c:pt idx="125" formatCode="0.000">
                  <c:v>1.1223502558335765</c:v>
                </c:pt>
                <c:pt idx="126" formatCode="0.000">
                  <c:v>0.74983576926364037</c:v>
                </c:pt>
                <c:pt idx="127" formatCode="0.000">
                  <c:v>0.95690038583185899</c:v>
                </c:pt>
                <c:pt idx="128" formatCode="0.000">
                  <c:v>1.0118673738042854</c:v>
                </c:pt>
                <c:pt idx="129" formatCode="0.000">
                  <c:v>0.93290230507991745</c:v>
                </c:pt>
                <c:pt idx="130" formatCode="0.000">
                  <c:v>1.3835899249786368</c:v>
                </c:pt>
                <c:pt idx="131" formatCode="0.000">
                  <c:v>0.7288299713873081</c:v>
                </c:pt>
                <c:pt idx="132" formatCode="0.000">
                  <c:v>0.96893589752163223</c:v>
                </c:pt>
                <c:pt idx="133" formatCode="0.000">
                  <c:v>0.96285288533038804</c:v>
                </c:pt>
                <c:pt idx="134" formatCode="0.000">
                  <c:v>0.93159146515043267</c:v>
                </c:pt>
                <c:pt idx="135" formatCode="0.000">
                  <c:v>0.89166032821938968</c:v>
                </c:pt>
                <c:pt idx="136" formatCode="0.000">
                  <c:v>0.92293591027532329</c:v>
                </c:pt>
                <c:pt idx="137" formatCode="0.000">
                  <c:v>1.093278304436079</c:v>
                </c:pt>
                <c:pt idx="138" formatCode="0.000">
                  <c:v>0.74748361752732095</c:v>
                </c:pt>
                <c:pt idx="139" formatCode="0.000">
                  <c:v>0.94041538493814603</c:v>
                </c:pt>
                <c:pt idx="140" formatCode="0.000">
                  <c:v>0.8414751966356343</c:v>
                </c:pt>
                <c:pt idx="141" formatCode="0.000">
                  <c:v>0.79636683347408477</c:v>
                </c:pt>
                <c:pt idx="142" formatCode="0.000">
                  <c:v>1.2858967676474979</c:v>
                </c:pt>
                <c:pt idx="143" formatCode="0.000">
                  <c:v>0.604636224317465</c:v>
                </c:pt>
                <c:pt idx="144" formatCode="0.000">
                  <c:v>0.99806732868803982</c:v>
                </c:pt>
                <c:pt idx="145" formatCode="0.000">
                  <c:v>1.0743568759303899</c:v>
                </c:pt>
                <c:pt idx="146" formatCode="0.000">
                  <c:v>1.1261519084052307</c:v>
                </c:pt>
                <c:pt idx="147" formatCode="0.000">
                  <c:v>0.8245906556289615</c:v>
                </c:pt>
                <c:pt idx="148" formatCode="0.000">
                  <c:v>0.94611075676682077</c:v>
                </c:pt>
                <c:pt idx="149" formatCode="0.000">
                  <c:v>1.1455195931506799</c:v>
                </c:pt>
                <c:pt idx="150" formatCode="0.000">
                  <c:v>0.82419889768277765</c:v>
                </c:pt>
                <c:pt idx="151" formatCode="0.000">
                  <c:v>0.98416744117378752</c:v>
                </c:pt>
                <c:pt idx="152" formatCode="0.000">
                  <c:v>0.87839299892758482</c:v>
                </c:pt>
                <c:pt idx="153" formatCode="0.000">
                  <c:v>0.87046568880764186</c:v>
                </c:pt>
                <c:pt idx="154" formatCode="0.000">
                  <c:v>1.4525050611384254</c:v>
                </c:pt>
                <c:pt idx="155" formatCode="0.000">
                  <c:v>0.69515747481719492</c:v>
                </c:pt>
                <c:pt idx="156" formatCode="0.000">
                  <c:v>0.92035042910118581</c:v>
                </c:pt>
                <c:pt idx="157" formatCode="0.000">
                  <c:v>1.0126877125431437</c:v>
                </c:pt>
                <c:pt idx="158" formatCode="0.000">
                  <c:v>0.91049039702855183</c:v>
                </c:pt>
                <c:pt idx="159" formatCode="0.000">
                  <c:v>0.9332984698547756</c:v>
                </c:pt>
                <c:pt idx="160" formatCode="0.000">
                  <c:v>0.94759380823634942</c:v>
                </c:pt>
                <c:pt idx="161" formatCode="0.000">
                  <c:v>1.1408706320637136</c:v>
                </c:pt>
                <c:pt idx="162" formatCode="0.000">
                  <c:v>0.81446174558747608</c:v>
                </c:pt>
                <c:pt idx="163" formatCode="0.000">
                  <c:v>0.87047498567615911</c:v>
                </c:pt>
                <c:pt idx="164" formatCode="0.000">
                  <c:v>0.82757363758339064</c:v>
                </c:pt>
                <c:pt idx="165" formatCode="0.000">
                  <c:v>0.87019911698364338</c:v>
                </c:pt>
                <c:pt idx="166" formatCode="0.000">
                  <c:v>1.3694087577862142</c:v>
                </c:pt>
                <c:pt idx="167" formatCode="0.000">
                  <c:v>0.62318050532323443</c:v>
                </c:pt>
                <c:pt idx="168" formatCode="0.000">
                  <c:v>0.90511152424707719</c:v>
                </c:pt>
                <c:pt idx="169" formatCode="0.000">
                  <c:v>0.87460692687794106</c:v>
                </c:pt>
                <c:pt idx="170" formatCode="0.000">
                  <c:v>0.90884464413389676</c:v>
                </c:pt>
                <c:pt idx="171" formatCode="0.000">
                  <c:v>0.92383490880115648</c:v>
                </c:pt>
                <c:pt idx="172" formatCode="0.000">
                  <c:v>1.0135780033579704</c:v>
                </c:pt>
                <c:pt idx="173" formatCode="0.000">
                  <c:v>1.1954865320513495</c:v>
                </c:pt>
                <c:pt idx="174" formatCode="0.000">
                  <c:v>0.90559053145365798</c:v>
                </c:pt>
                <c:pt idx="175" formatCode="0.000">
                  <c:v>0.92110557710694141</c:v>
                </c:pt>
                <c:pt idx="176" formatCode="0.000">
                  <c:v>0.83974643827984952</c:v>
                </c:pt>
                <c:pt idx="177" formatCode="0.000">
                  <c:v>0.88669804443688571</c:v>
                </c:pt>
                <c:pt idx="178" formatCode="0.000">
                  <c:v>1.3584415443031008</c:v>
                </c:pt>
                <c:pt idx="179" formatCode="0.000">
                  <c:v>0.56125543748940165</c:v>
                </c:pt>
                <c:pt idx="180" formatCode="0.000">
                  <c:v>0.78505793510812549</c:v>
                </c:pt>
                <c:pt idx="181" formatCode="0.000">
                  <c:v>0.93436450738023369</c:v>
                </c:pt>
                <c:pt idx="182" formatCode="0.000">
                  <c:v>0.94106281887321475</c:v>
                </c:pt>
                <c:pt idx="183" formatCode="0.000">
                  <c:v>0.78584451986362924</c:v>
                </c:pt>
                <c:pt idx="184" formatCode="0.000">
                  <c:v>0.85850279473945978</c:v>
                </c:pt>
                <c:pt idx="185" formatCode="0.000">
                  <c:v>1.0645490456644993</c:v>
                </c:pt>
                <c:pt idx="186" formatCode="0.000">
                  <c:v>0.63985041439962853</c:v>
                </c:pt>
                <c:pt idx="187" formatCode="0.000">
                  <c:v>0.84952268818202481</c:v>
                </c:pt>
                <c:pt idx="188" formatCode="0.000">
                  <c:v>0.84790026082547498</c:v>
                </c:pt>
                <c:pt idx="189" formatCode="0.000">
                  <c:v>0.90532309223858476</c:v>
                </c:pt>
                <c:pt idx="190" formatCode="0.000">
                  <c:v>1.4833318553488226</c:v>
                </c:pt>
                <c:pt idx="191" formatCode="0.000">
                  <c:v>0.53751357244500353</c:v>
                </c:pt>
                <c:pt idx="192" formatCode="0.000">
                  <c:v>0.91381777561094057</c:v>
                </c:pt>
                <c:pt idx="193" formatCode="0.000">
                  <c:v>0.94356883551678961</c:v>
                </c:pt>
                <c:pt idx="194" formatCode="0.000">
                  <c:v>0.88698397338614643</c:v>
                </c:pt>
                <c:pt idx="195" formatCode="0.000">
                  <c:v>0.93222144870959078</c:v>
                </c:pt>
                <c:pt idx="196" formatCode="0.000">
                  <c:v>0.83877680106838171</c:v>
                </c:pt>
                <c:pt idx="197" formatCode="0.000">
                  <c:v>1.1054240328134295</c:v>
                </c:pt>
                <c:pt idx="198" formatCode="0.000">
                  <c:v>0.68314759643897116</c:v>
                </c:pt>
                <c:pt idx="199" formatCode="0.000">
                  <c:v>0.88087295125638687</c:v>
                </c:pt>
                <c:pt idx="200" formatCode="0.000">
                  <c:v>0.8404219548246461</c:v>
                </c:pt>
                <c:pt idx="201" formatCode="0.000">
                  <c:v>0.86795037968957478</c:v>
                </c:pt>
                <c:pt idx="202" formatCode="0.000">
                  <c:v>1.3539467306721216</c:v>
                </c:pt>
                <c:pt idx="203" formatCode="0.000">
                  <c:v>0.45387302329931511</c:v>
                </c:pt>
                <c:pt idx="204" formatCode="0.000">
                  <c:v>0.82723170835870485</c:v>
                </c:pt>
                <c:pt idx="205" formatCode="0.000">
                  <c:v>0.88672959974249832</c:v>
                </c:pt>
                <c:pt idx="206" formatCode="0.000">
                  <c:v>0.90422366326208192</c:v>
                </c:pt>
                <c:pt idx="207" formatCode="0.000">
                  <c:v>0.81441618998241849</c:v>
                </c:pt>
                <c:pt idx="208" formatCode="0.000">
                  <c:v>0.87786672975784863</c:v>
                </c:pt>
                <c:pt idx="209" formatCode="0.000">
                  <c:v>1.156970997013929</c:v>
                </c:pt>
                <c:pt idx="210" formatCode="0.000">
                  <c:v>0.84741774806994064</c:v>
                </c:pt>
                <c:pt idx="211" formatCode="0.000">
                  <c:v>0.95051183682835028</c:v>
                </c:pt>
                <c:pt idx="212" formatCode="0.000">
                  <c:v>0.92655520631796151</c:v>
                </c:pt>
                <c:pt idx="213" formatCode="0.000">
                  <c:v>0.92732304495984008</c:v>
                </c:pt>
                <c:pt idx="214" formatCode="0.000">
                  <c:v>1.3988219545494132</c:v>
                </c:pt>
                <c:pt idx="215" formatCode="0.000">
                  <c:v>0.47809954403257737</c:v>
                </c:pt>
                <c:pt idx="216" formatCode="0.000">
                  <c:v>0.85305687103139016</c:v>
                </c:pt>
                <c:pt idx="217" formatCode="0.000">
                  <c:v>0.8967385184207497</c:v>
                </c:pt>
                <c:pt idx="218" formatCode="0.000">
                  <c:v>0.84721773087501973</c:v>
                </c:pt>
                <c:pt idx="219" formatCode="0.000">
                  <c:v>0.93320204970263709</c:v>
                </c:pt>
                <c:pt idx="220" formatCode="0.000">
                  <c:v>0.8940458320564344</c:v>
                </c:pt>
                <c:pt idx="221" formatCode="0.000">
                  <c:v>1.115459102849617</c:v>
                </c:pt>
                <c:pt idx="222" formatCode="0.000">
                  <c:v>0.76608371433535216</c:v>
                </c:pt>
                <c:pt idx="223" formatCode="0.000">
                  <c:v>0.84758050720979916</c:v>
                </c:pt>
                <c:pt idx="224" formatCode="0.000">
                  <c:v>0.82243723717769668</c:v>
                </c:pt>
                <c:pt idx="225" formatCode="0.000">
                  <c:v>0.99198109571408222</c:v>
                </c:pt>
                <c:pt idx="226" formatCode="0.000">
                  <c:v>1.4583436071531395</c:v>
                </c:pt>
                <c:pt idx="227" formatCode="0.000">
                  <c:v>0.51644442043211081</c:v>
                </c:pt>
                <c:pt idx="228" formatCode="0.000">
                  <c:v>0.8803992786687016</c:v>
                </c:pt>
                <c:pt idx="229" formatCode="0.000">
                  <c:v>0.97305929263795499</c:v>
                </c:pt>
                <c:pt idx="230" formatCode="0.000">
                  <c:v>0.88183406915166684</c:v>
                </c:pt>
                <c:pt idx="231" formatCode="0.000">
                  <c:v>1.0683785003846584</c:v>
                </c:pt>
                <c:pt idx="232" formatCode="0.000">
                  <c:v>1.0694204614397282</c:v>
                </c:pt>
                <c:pt idx="233" formatCode="0.000">
                  <c:v>1.2448947349730546</c:v>
                </c:pt>
                <c:pt idx="234" formatCode="0.000">
                  <c:v>0.75592162019302078</c:v>
                </c:pt>
                <c:pt idx="235" formatCode="0.000">
                  <c:v>0.8042151814254227</c:v>
                </c:pt>
                <c:pt idx="236" formatCode="0.000">
                  <c:v>0.9655397554311036</c:v>
                </c:pt>
                <c:pt idx="237" formatCode="0.000">
                  <c:v>0.86945435920869207</c:v>
                </c:pt>
                <c:pt idx="238" formatCode="0.000">
                  <c:v>1.4165898369505674</c:v>
                </c:pt>
                <c:pt idx="239" formatCode="0.000">
                  <c:v>0.43264563457617067</c:v>
                </c:pt>
                <c:pt idx="240" formatCode="0.000">
                  <c:v>0.82889806238567432</c:v>
                </c:pt>
                <c:pt idx="241" formatCode="0.000">
                  <c:v>0.93388708810317156</c:v>
                </c:pt>
                <c:pt idx="242" formatCode="0.000">
                  <c:v>0.929045125880964</c:v>
                </c:pt>
                <c:pt idx="243" formatCode="0.000">
                  <c:v>0.92769474240749883</c:v>
                </c:pt>
                <c:pt idx="244" formatCode="0.000">
                  <c:v>0.90083662812700216</c:v>
                </c:pt>
                <c:pt idx="245" formatCode="0.000">
                  <c:v>1.1198866618493328</c:v>
                </c:pt>
                <c:pt idx="246" formatCode="0.000">
                  <c:v>0.87277112228753206</c:v>
                </c:pt>
                <c:pt idx="247" formatCode="0.000">
                  <c:v>0.95229089319476334</c:v>
                </c:pt>
                <c:pt idx="248" formatCode="0.000">
                  <c:v>1.0606906920307959</c:v>
                </c:pt>
                <c:pt idx="249" formatCode="0.000">
                  <c:v>1.0839797281034229</c:v>
                </c:pt>
                <c:pt idx="250" formatCode="0.000">
                  <c:v>1.544389572568605</c:v>
                </c:pt>
                <c:pt idx="251" formatCode="0.000">
                  <c:v>0.65801188649732767</c:v>
                </c:pt>
                <c:pt idx="252" formatCode="0.000">
                  <c:v>0.86726016227064406</c:v>
                </c:pt>
                <c:pt idx="253" formatCode="0.000">
                  <c:v>0.8556747241488728</c:v>
                </c:pt>
                <c:pt idx="254" formatCode="0.000">
                  <c:v>1.054276728750887</c:v>
                </c:pt>
                <c:pt idx="255" formatCode="0.000">
                  <c:v>1.1244806787598176</c:v>
                </c:pt>
                <c:pt idx="256" formatCode="0.000">
                  <c:v>1.1872432389349852</c:v>
                </c:pt>
                <c:pt idx="257" formatCode="0.000">
                  <c:v>1.5821526287499781</c:v>
                </c:pt>
                <c:pt idx="258" formatCode="0.000">
                  <c:v>1.4115296112552929</c:v>
                </c:pt>
                <c:pt idx="259" formatCode="0.000">
                  <c:v>1.1538372934970595</c:v>
                </c:pt>
                <c:pt idx="260" formatCode="0.000">
                  <c:v>1.2476309984230973</c:v>
                </c:pt>
                <c:pt idx="261" formatCode="0.000">
                  <c:v>1.2204911859344407</c:v>
                </c:pt>
                <c:pt idx="262" formatCode="0.000">
                  <c:v>1.69208989343245</c:v>
                </c:pt>
                <c:pt idx="263" formatCode="0.000">
                  <c:v>0.5569748328047337</c:v>
                </c:pt>
                <c:pt idx="264" formatCode="0.000">
                  <c:v>0.98262775346749121</c:v>
                </c:pt>
                <c:pt idx="265" formatCode="0.000">
                  <c:v>1.0633469266356725</c:v>
                </c:pt>
                <c:pt idx="266" formatCode="0.000">
                  <c:v>0.96561787559410284</c:v>
                </c:pt>
                <c:pt idx="267" formatCode="0.000">
                  <c:v>0.99451102091951238</c:v>
                </c:pt>
                <c:pt idx="268" formatCode="0.000">
                  <c:v>0.91646171261226295</c:v>
                </c:pt>
                <c:pt idx="269" formatCode="0.000">
                  <c:v>1.0217930872686882</c:v>
                </c:pt>
                <c:pt idx="270" formatCode="0.000">
                  <c:v>0.74092583088728903</c:v>
                </c:pt>
                <c:pt idx="271" formatCode="0.000">
                  <c:v>0.86832910668810315</c:v>
                </c:pt>
                <c:pt idx="272" formatCode="0.000">
                  <c:v>1.1157685699077347</c:v>
                </c:pt>
                <c:pt idx="273" formatCode="0.000">
                  <c:v>0.93585917279587938</c:v>
                </c:pt>
                <c:pt idx="274" formatCode="0.000">
                  <c:v>1.4407213296512982</c:v>
                </c:pt>
                <c:pt idx="275" formatCode="0.000">
                  <c:v>0.43883009290521335</c:v>
                </c:pt>
                <c:pt idx="276" formatCode="0.000">
                  <c:v>1.000928435335003</c:v>
                </c:pt>
                <c:pt idx="277" formatCode="0.000">
                  <c:v>1.1002770132300299</c:v>
                </c:pt>
                <c:pt idx="278" formatCode="0.000">
                  <c:v>1.1928483541933947</c:v>
                </c:pt>
                <c:pt idx="279" formatCode="0.000">
                  <c:v>1.0669179461554885</c:v>
                </c:pt>
                <c:pt idx="280" formatCode="0.000">
                  <c:v>1.0174864062071707</c:v>
                </c:pt>
                <c:pt idx="281" formatCode="0.000">
                  <c:v>1.1237175844814398</c:v>
                </c:pt>
                <c:pt idx="282" formatCode="0.000">
                  <c:v>0.8147368140969915</c:v>
                </c:pt>
                <c:pt idx="283" formatCode="0.000">
                  <c:v>0.85069682750372666</c:v>
                </c:pt>
                <c:pt idx="284" formatCode="0.000">
                  <c:v>0.9923432502861248</c:v>
                </c:pt>
                <c:pt idx="285" formatCode="0.000">
                  <c:v>0.83935120802593732</c:v>
                </c:pt>
                <c:pt idx="286" formatCode="0.000">
                  <c:v>1.4357525522558383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55-41A6-9499-A0F4A0C18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6064687"/>
        <c:axId val="1946049327"/>
      </c:lineChart>
      <c:catAx>
        <c:axId val="1946064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46049327"/>
        <c:crosses val="autoZero"/>
        <c:auto val="1"/>
        <c:lblAlgn val="ctr"/>
        <c:lblOffset val="40"/>
        <c:noMultiLvlLbl val="0"/>
      </c:catAx>
      <c:valAx>
        <c:axId val="19460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46064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400" b="0" i="0" u="none" strike="noStrike" baseline="0"/>
              <a:t>Comparación de IPC en el sector Transporte y Pronóstico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Mensuales!$B$6</c:f>
              <c:strCache>
                <c:ptCount val="1"/>
                <c:pt idx="0">
                  <c:v>IPC.Transporte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Mensuales!$B$8:$B$290</c:f>
              <c:numCache>
                <c:formatCode>General</c:formatCode>
                <c:ptCount val="283"/>
                <c:pt idx="0">
                  <c:v>-0.23602370278299201</c:v>
                </c:pt>
                <c:pt idx="1">
                  <c:v>-3.2272591284078903E-2</c:v>
                </c:pt>
                <c:pt idx="2">
                  <c:v>0.94452884944668403</c:v>
                </c:pt>
                <c:pt idx="3">
                  <c:v>-0.68143185166807396</c:v>
                </c:pt>
                <c:pt idx="4">
                  <c:v>-6.8474914272319595E-2</c:v>
                </c:pt>
                <c:pt idx="5">
                  <c:v>0.31453435372215099</c:v>
                </c:pt>
                <c:pt idx="6">
                  <c:v>-0.35898511684002699</c:v>
                </c:pt>
                <c:pt idx="7">
                  <c:v>-9.4493051576368697E-2</c:v>
                </c:pt>
                <c:pt idx="8">
                  <c:v>-4.8698667949326202E-2</c:v>
                </c:pt>
                <c:pt idx="9">
                  <c:v>-0.23835204936642099</c:v>
                </c:pt>
                <c:pt idx="10">
                  <c:v>1.2561858862754001</c:v>
                </c:pt>
                <c:pt idx="11">
                  <c:v>-0.54618107089850598</c:v>
                </c:pt>
                <c:pt idx="12">
                  <c:v>-2.8480707506333702E-2</c:v>
                </c:pt>
                <c:pt idx="13">
                  <c:v>0.11276107432601799</c:v>
                </c:pt>
                <c:pt idx="14">
                  <c:v>-0.247187044467131</c:v>
                </c:pt>
                <c:pt idx="15">
                  <c:v>-7.68085539888279E-3</c:v>
                </c:pt>
                <c:pt idx="16">
                  <c:v>8.3598964154677893E-2</c:v>
                </c:pt>
                <c:pt idx="17">
                  <c:v>0.56907813478416702</c:v>
                </c:pt>
                <c:pt idx="18">
                  <c:v>-0.10215832598351</c:v>
                </c:pt>
                <c:pt idx="19">
                  <c:v>-0.33599652704481697</c:v>
                </c:pt>
                <c:pt idx="20">
                  <c:v>0.119670563428247</c:v>
                </c:pt>
                <c:pt idx="21">
                  <c:v>-3.26239426159146E-2</c:v>
                </c:pt>
                <c:pt idx="22">
                  <c:v>0.61285729443832104</c:v>
                </c:pt>
                <c:pt idx="23">
                  <c:v>-0.46878938389178598</c:v>
                </c:pt>
                <c:pt idx="24">
                  <c:v>0.690445050154331</c:v>
                </c:pt>
                <c:pt idx="25">
                  <c:v>8.9162729944089492</c:v>
                </c:pt>
                <c:pt idx="26">
                  <c:v>0.70748470610168002</c:v>
                </c:pt>
                <c:pt idx="27">
                  <c:v>-0.24311391472376401</c:v>
                </c:pt>
                <c:pt idx="28">
                  <c:v>0.124061343809053</c:v>
                </c:pt>
                <c:pt idx="29">
                  <c:v>0.71313045099099603</c:v>
                </c:pt>
                <c:pt idx="30">
                  <c:v>-0.37330547436725797</c:v>
                </c:pt>
                <c:pt idx="31">
                  <c:v>-0.102669754965166</c:v>
                </c:pt>
                <c:pt idx="32">
                  <c:v>-0.20412167573607201</c:v>
                </c:pt>
                <c:pt idx="33">
                  <c:v>1.06658355339182E-2</c:v>
                </c:pt>
                <c:pt idx="34">
                  <c:v>0.80516395468998203</c:v>
                </c:pt>
                <c:pt idx="35">
                  <c:v>-0.57394901311540403</c:v>
                </c:pt>
                <c:pt idx="36">
                  <c:v>-1.34352938959948E-2</c:v>
                </c:pt>
                <c:pt idx="37">
                  <c:v>0.120851075635589</c:v>
                </c:pt>
                <c:pt idx="38">
                  <c:v>-7.9770484341740597E-2</c:v>
                </c:pt>
                <c:pt idx="39">
                  <c:v>-0.21778223060075599</c:v>
                </c:pt>
                <c:pt idx="40">
                  <c:v>2.14980478568754E-2</c:v>
                </c:pt>
                <c:pt idx="41">
                  <c:v>0.77905119738511897</c:v>
                </c:pt>
                <c:pt idx="42">
                  <c:v>-0.27369799444383203</c:v>
                </c:pt>
                <c:pt idx="43">
                  <c:v>0.22969679698870399</c:v>
                </c:pt>
                <c:pt idx="44">
                  <c:v>0.66255239378191699</c:v>
                </c:pt>
                <c:pt idx="45">
                  <c:v>1.4636839748138699</c:v>
                </c:pt>
                <c:pt idx="46">
                  <c:v>1.1222167042489499</c:v>
                </c:pt>
                <c:pt idx="47">
                  <c:v>-0.246848692912848</c:v>
                </c:pt>
                <c:pt idx="48">
                  <c:v>-0.252364777146034</c:v>
                </c:pt>
                <c:pt idx="49">
                  <c:v>0.48728743959614801</c:v>
                </c:pt>
                <c:pt idx="50">
                  <c:v>-0.22235380877447999</c:v>
                </c:pt>
                <c:pt idx="51">
                  <c:v>0.13211731330155499</c:v>
                </c:pt>
                <c:pt idx="52">
                  <c:v>5.38506185039875E-2</c:v>
                </c:pt>
                <c:pt idx="53">
                  <c:v>0.730570369744035</c:v>
                </c:pt>
                <c:pt idx="54">
                  <c:v>-0.24591455587688299</c:v>
                </c:pt>
                <c:pt idx="55">
                  <c:v>0.12614791326566299</c:v>
                </c:pt>
                <c:pt idx="56">
                  <c:v>0.197967110860399</c:v>
                </c:pt>
                <c:pt idx="57">
                  <c:v>0.47119140311089602</c:v>
                </c:pt>
                <c:pt idx="58">
                  <c:v>1.10887963110716</c:v>
                </c:pt>
                <c:pt idx="59">
                  <c:v>-0.51656035743189699</c:v>
                </c:pt>
                <c:pt idx="60">
                  <c:v>-9.9131238838018595E-2</c:v>
                </c:pt>
                <c:pt idx="61">
                  <c:v>9.3292876050985199E-2</c:v>
                </c:pt>
                <c:pt idx="62">
                  <c:v>0.467018140653845</c:v>
                </c:pt>
                <c:pt idx="63">
                  <c:v>-0.218122417041786</c:v>
                </c:pt>
                <c:pt idx="64">
                  <c:v>5.7359110403570703E-2</c:v>
                </c:pt>
                <c:pt idx="65">
                  <c:v>0.96129498925830803</c:v>
                </c:pt>
                <c:pt idx="66">
                  <c:v>-0.70391267705821903</c:v>
                </c:pt>
                <c:pt idx="67">
                  <c:v>0.12603602066449501</c:v>
                </c:pt>
                <c:pt idx="68">
                  <c:v>-0.20262475070468</c:v>
                </c:pt>
                <c:pt idx="69">
                  <c:v>0.21730634808441501</c:v>
                </c:pt>
                <c:pt idx="70">
                  <c:v>1.1221114605965301</c:v>
                </c:pt>
                <c:pt idx="71">
                  <c:v>-0.74531601535543202</c:v>
                </c:pt>
                <c:pt idx="72">
                  <c:v>1.12721153529153E-2</c:v>
                </c:pt>
                <c:pt idx="73">
                  <c:v>-0.10778955783333</c:v>
                </c:pt>
                <c:pt idx="74">
                  <c:v>0.21331086554522399</c:v>
                </c:pt>
                <c:pt idx="75">
                  <c:v>-0.28986096017704899</c:v>
                </c:pt>
                <c:pt idx="76">
                  <c:v>-1.2960256442431499E-2</c:v>
                </c:pt>
                <c:pt idx="77">
                  <c:v>0.915950962744008</c:v>
                </c:pt>
                <c:pt idx="78">
                  <c:v>-0.370484670014252</c:v>
                </c:pt>
                <c:pt idx="79">
                  <c:v>-0.26547398459167099</c:v>
                </c:pt>
                <c:pt idx="80">
                  <c:v>5.8613726351625803E-2</c:v>
                </c:pt>
                <c:pt idx="81">
                  <c:v>0.11261399556212</c:v>
                </c:pt>
                <c:pt idx="82">
                  <c:v>1.4657543918687499</c:v>
                </c:pt>
                <c:pt idx="83">
                  <c:v>-0.76073885005677899</c:v>
                </c:pt>
                <c:pt idx="84">
                  <c:v>-7.6968795407686794E-2</c:v>
                </c:pt>
                <c:pt idx="85">
                  <c:v>0.35943238827378599</c:v>
                </c:pt>
                <c:pt idx="86">
                  <c:v>-0.25999524411784602</c:v>
                </c:pt>
                <c:pt idx="87">
                  <c:v>0.43803533456274002</c:v>
                </c:pt>
                <c:pt idx="88">
                  <c:v>0.54461813691622696</c:v>
                </c:pt>
                <c:pt idx="89">
                  <c:v>0.81062656934450295</c:v>
                </c:pt>
                <c:pt idx="90">
                  <c:v>0.61188969292652196</c:v>
                </c:pt>
                <c:pt idx="91">
                  <c:v>3.1625804076416202</c:v>
                </c:pt>
                <c:pt idx="92">
                  <c:v>0.61107030126406903</c:v>
                </c:pt>
                <c:pt idx="93">
                  <c:v>3.1311929738302699E-2</c:v>
                </c:pt>
                <c:pt idx="94">
                  <c:v>0.93354695357148798</c:v>
                </c:pt>
                <c:pt idx="95">
                  <c:v>-0.87429756191199404</c:v>
                </c:pt>
                <c:pt idx="96">
                  <c:v>0.20127086371243</c:v>
                </c:pt>
                <c:pt idx="97">
                  <c:v>-0.18627609016670599</c:v>
                </c:pt>
                <c:pt idx="98">
                  <c:v>5.3604303629009101E-2</c:v>
                </c:pt>
                <c:pt idx="99">
                  <c:v>-0.48437672715512298</c:v>
                </c:pt>
                <c:pt idx="100">
                  <c:v>-2.9241332392100101E-2</c:v>
                </c:pt>
                <c:pt idx="101">
                  <c:v>0.61361935911559495</c:v>
                </c:pt>
                <c:pt idx="102">
                  <c:v>-0.313806925744888</c:v>
                </c:pt>
                <c:pt idx="103">
                  <c:v>-0.26359551596856201</c:v>
                </c:pt>
                <c:pt idx="104">
                  <c:v>-0.122528802695672</c:v>
                </c:pt>
                <c:pt idx="105">
                  <c:v>-5.3425373936031702E-2</c:v>
                </c:pt>
                <c:pt idx="106">
                  <c:v>1.28123184432881</c:v>
                </c:pt>
                <c:pt idx="107">
                  <c:v>-0.52324879373084399</c:v>
                </c:pt>
                <c:pt idx="108">
                  <c:v>-0.123596848485736</c:v>
                </c:pt>
                <c:pt idx="109">
                  <c:v>0.232903788675769</c:v>
                </c:pt>
                <c:pt idx="110">
                  <c:v>-0.41556926245626602</c:v>
                </c:pt>
                <c:pt idx="111">
                  <c:v>0.29207848059781</c:v>
                </c:pt>
                <c:pt idx="112">
                  <c:v>2.4039058909624399E-2</c:v>
                </c:pt>
                <c:pt idx="113">
                  <c:v>0.72006824287332905</c:v>
                </c:pt>
                <c:pt idx="114">
                  <c:v>-0.19667533261881301</c:v>
                </c:pt>
                <c:pt idx="115">
                  <c:v>-0.1373758195301</c:v>
                </c:pt>
                <c:pt idx="116">
                  <c:v>0.26097719003994102</c:v>
                </c:pt>
                <c:pt idx="117">
                  <c:v>-0.39975189691026197</c:v>
                </c:pt>
                <c:pt idx="118">
                  <c:v>2.2177141568608301</c:v>
                </c:pt>
                <c:pt idx="119">
                  <c:v>-0.77304417692133498</c:v>
                </c:pt>
                <c:pt idx="120">
                  <c:v>7.6621728321520602E-2</c:v>
                </c:pt>
                <c:pt idx="121">
                  <c:v>0.22805860258279301</c:v>
                </c:pt>
                <c:pt idx="122">
                  <c:v>0.25739030848724098</c:v>
                </c:pt>
                <c:pt idx="123">
                  <c:v>-0.23233033044880799</c:v>
                </c:pt>
                <c:pt idx="124">
                  <c:v>0.183950966780146</c:v>
                </c:pt>
                <c:pt idx="125">
                  <c:v>0.62568488619170004</c:v>
                </c:pt>
                <c:pt idx="126">
                  <c:v>2.9971789732134001E-2</c:v>
                </c:pt>
                <c:pt idx="127">
                  <c:v>0.75153331508200705</c:v>
                </c:pt>
                <c:pt idx="128">
                  <c:v>6.7089541717939793E-2</c:v>
                </c:pt>
                <c:pt idx="129">
                  <c:v>0.13754162391590499</c:v>
                </c:pt>
                <c:pt idx="130">
                  <c:v>2.1926422552745799</c:v>
                </c:pt>
                <c:pt idx="131">
                  <c:v>-0.73803549074651698</c:v>
                </c:pt>
                <c:pt idx="132">
                  <c:v>-0.20773637432679301</c:v>
                </c:pt>
                <c:pt idx="133">
                  <c:v>-3.4941211838665102E-2</c:v>
                </c:pt>
                <c:pt idx="134">
                  <c:v>0.464365357040666</c:v>
                </c:pt>
                <c:pt idx="135">
                  <c:v>-0.16538504401635101</c:v>
                </c:pt>
                <c:pt idx="136">
                  <c:v>-4.0643193232936498E-2</c:v>
                </c:pt>
                <c:pt idx="137">
                  <c:v>0.57057204783070903</c:v>
                </c:pt>
                <c:pt idx="138">
                  <c:v>-0.10379457686739101</c:v>
                </c:pt>
                <c:pt idx="139">
                  <c:v>-4.1603643330901302E-2</c:v>
                </c:pt>
                <c:pt idx="140">
                  <c:v>-0.18435997843239499</c:v>
                </c:pt>
                <c:pt idx="141">
                  <c:v>-5.0762888115602499E-2</c:v>
                </c:pt>
                <c:pt idx="142">
                  <c:v>2.1792765718036402</c:v>
                </c:pt>
                <c:pt idx="143">
                  <c:v>-0.20739136575279801</c:v>
                </c:pt>
                <c:pt idx="144">
                  <c:v>0.29164149212347601</c:v>
                </c:pt>
                <c:pt idx="145">
                  <c:v>0.55407906885024405</c:v>
                </c:pt>
                <c:pt idx="146">
                  <c:v>-0.53749527964922295</c:v>
                </c:pt>
                <c:pt idx="147">
                  <c:v>0.24684914284833701</c:v>
                </c:pt>
                <c:pt idx="148">
                  <c:v>0.13578005656334899</c:v>
                </c:pt>
                <c:pt idx="149">
                  <c:v>0.79810274717296703</c:v>
                </c:pt>
                <c:pt idx="150">
                  <c:v>2.3993706666480898E-2</c:v>
                </c:pt>
                <c:pt idx="151">
                  <c:v>-3.0056695988207899E-2</c:v>
                </c:pt>
                <c:pt idx="152">
                  <c:v>1.9948116865732099E-2</c:v>
                </c:pt>
                <c:pt idx="153">
                  <c:v>0.584647275220332</c:v>
                </c:pt>
                <c:pt idx="154">
                  <c:v>2.06556956462288</c:v>
                </c:pt>
                <c:pt idx="155">
                  <c:v>-0.74188050778390102</c:v>
                </c:pt>
                <c:pt idx="156">
                  <c:v>0.20993154155025601</c:v>
                </c:pt>
                <c:pt idx="157">
                  <c:v>-8.46275681340425E-2</c:v>
                </c:pt>
                <c:pt idx="158">
                  <c:v>0.33473899873149898</c:v>
                </c:pt>
                <c:pt idx="159">
                  <c:v>-3.8279686503122697E-2</c:v>
                </c:pt>
                <c:pt idx="160">
                  <c:v>6.7801613997732699E-2</c:v>
                </c:pt>
                <c:pt idx="161">
                  <c:v>0.68732715631996499</c:v>
                </c:pt>
                <c:pt idx="162">
                  <c:v>-0.42405194296123699</c:v>
                </c:pt>
                <c:pt idx="163">
                  <c:v>-4.55760908053805E-3</c:v>
                </c:pt>
                <c:pt idx="164">
                  <c:v>1.38919889603704E-2</c:v>
                </c:pt>
                <c:pt idx="165">
                  <c:v>0.19883958224748499</c:v>
                </c:pt>
                <c:pt idx="166">
                  <c:v>2.3099686120234799</c:v>
                </c:pt>
                <c:pt idx="167">
                  <c:v>-0.76371947740401203</c:v>
                </c:pt>
                <c:pt idx="168">
                  <c:v>-0.36579887407174599</c:v>
                </c:pt>
                <c:pt idx="169">
                  <c:v>0.213801537842922</c:v>
                </c:pt>
                <c:pt idx="170">
                  <c:v>0.47508996497669498</c:v>
                </c:pt>
                <c:pt idx="171">
                  <c:v>0.41739747141698202</c:v>
                </c:pt>
                <c:pt idx="172">
                  <c:v>0.102490173520967</c:v>
                </c:pt>
                <c:pt idx="173">
                  <c:v>1.3477565384143799</c:v>
                </c:pt>
                <c:pt idx="174">
                  <c:v>-0.58845087618095104</c:v>
                </c:pt>
                <c:pt idx="175">
                  <c:v>-0.18470517245664</c:v>
                </c:pt>
                <c:pt idx="176">
                  <c:v>3.9758687298203199E-2</c:v>
                </c:pt>
                <c:pt idx="177">
                  <c:v>-3.8137934662401902E-2</c:v>
                </c:pt>
                <c:pt idx="178">
                  <c:v>2.2575039710417801</c:v>
                </c:pt>
                <c:pt idx="179">
                  <c:v>-1.0386431602601101</c:v>
                </c:pt>
                <c:pt idx="180">
                  <c:v>0.20542413936708301</c:v>
                </c:pt>
                <c:pt idx="181">
                  <c:v>0.10012740179194</c:v>
                </c:pt>
                <c:pt idx="182">
                  <c:v>-0.48265850575191699</c:v>
                </c:pt>
                <c:pt idx="183">
                  <c:v>0.20679560583798501</c:v>
                </c:pt>
                <c:pt idx="184">
                  <c:v>-0.28917312650681598</c:v>
                </c:pt>
                <c:pt idx="185">
                  <c:v>0.40847058811457998</c:v>
                </c:pt>
                <c:pt idx="186">
                  <c:v>-0.20446169883147799</c:v>
                </c:pt>
                <c:pt idx="187">
                  <c:v>-3.1888625543645598E-2</c:v>
                </c:pt>
                <c:pt idx="188">
                  <c:v>0.20664284616570699</c:v>
                </c:pt>
                <c:pt idx="189">
                  <c:v>0.50639427733435105</c:v>
                </c:pt>
                <c:pt idx="190">
                  <c:v>1.80762233765113</c:v>
                </c:pt>
                <c:pt idx="191">
                  <c:v>-0.74042109218128105</c:v>
                </c:pt>
                <c:pt idx="192">
                  <c:v>-9.04920006391704E-2</c:v>
                </c:pt>
                <c:pt idx="193">
                  <c:v>-1.36724581555732E-2</c:v>
                </c:pt>
                <c:pt idx="194">
                  <c:v>0.13905292368836</c:v>
                </c:pt>
                <c:pt idx="195">
                  <c:v>-0.24083372074979201</c:v>
                </c:pt>
                <c:pt idx="196">
                  <c:v>-5.0272414665877597E-2</c:v>
                </c:pt>
                <c:pt idx="197">
                  <c:v>0.31176248001510098</c:v>
                </c:pt>
                <c:pt idx="198">
                  <c:v>-5.4007736326876797E-2</c:v>
                </c:pt>
                <c:pt idx="199">
                  <c:v>-0.29226818591660902</c:v>
                </c:pt>
                <c:pt idx="200">
                  <c:v>-5.4637020422787397E-2</c:v>
                </c:pt>
                <c:pt idx="201">
                  <c:v>1.4880043740073901E-2</c:v>
                </c:pt>
                <c:pt idx="202">
                  <c:v>1.7907206060415199</c:v>
                </c:pt>
                <c:pt idx="203">
                  <c:v>-1.41412372235956</c:v>
                </c:pt>
                <c:pt idx="204">
                  <c:v>-9.5789555933411999E-2</c:v>
                </c:pt>
                <c:pt idx="205">
                  <c:v>0.21703877625210299</c:v>
                </c:pt>
                <c:pt idx="206">
                  <c:v>-0.434960406115453</c:v>
                </c:pt>
                <c:pt idx="207">
                  <c:v>0.31972846307112601</c:v>
                </c:pt>
                <c:pt idx="208">
                  <c:v>0.245379136096882</c:v>
                </c:pt>
                <c:pt idx="209">
                  <c:v>0.98610145076896805</c:v>
                </c:pt>
                <c:pt idx="210">
                  <c:v>7.94356333039236E-3</c:v>
                </c:pt>
                <c:pt idx="211">
                  <c:v>-0.20617363686870899</c:v>
                </c:pt>
                <c:pt idx="212">
                  <c:v>-4.3030612001045597E-2</c:v>
                </c:pt>
                <c:pt idx="213">
                  <c:v>-1.36894847584193E-2</c:v>
                </c:pt>
                <c:pt idx="214">
                  <c:v>1.88721568348969</c:v>
                </c:pt>
                <c:pt idx="215">
                  <c:v>-0.81166425826388899</c:v>
                </c:pt>
                <c:pt idx="216">
                  <c:v>-0.20078894498172301</c:v>
                </c:pt>
                <c:pt idx="217">
                  <c:v>0.119334517755028</c:v>
                </c:pt>
                <c:pt idx="218">
                  <c:v>8.9251880240048098E-2</c:v>
                </c:pt>
                <c:pt idx="219">
                  <c:v>3.5740062446375301E-3</c:v>
                </c:pt>
                <c:pt idx="220">
                  <c:v>-5.72665825453905E-2</c:v>
                </c:pt>
                <c:pt idx="221">
                  <c:v>0.58075105024668305</c:v>
                </c:pt>
                <c:pt idx="222">
                  <c:v>-9.8219947392601495E-2</c:v>
                </c:pt>
                <c:pt idx="223">
                  <c:v>-0.48917147531558403</c:v>
                </c:pt>
                <c:pt idx="224">
                  <c:v>0.93868105684054903</c:v>
                </c:pt>
                <c:pt idx="225">
                  <c:v>-2.6509298439830499E-2</c:v>
                </c:pt>
                <c:pt idx="226">
                  <c:v>1.99933285722695</c:v>
                </c:pt>
                <c:pt idx="227">
                  <c:v>-0.76836512777164401</c:v>
                </c:pt>
                <c:pt idx="228">
                  <c:v>6.5607666207791293E-2</c:v>
                </c:pt>
                <c:pt idx="229">
                  <c:v>-2.2034191565356201E-2</c:v>
                </c:pt>
                <c:pt idx="230">
                  <c:v>1.1334623594837401</c:v>
                </c:pt>
                <c:pt idx="231">
                  <c:v>0.59676776767893303</c:v>
                </c:pt>
                <c:pt idx="232">
                  <c:v>7.2344826427980201E-3</c:v>
                </c:pt>
                <c:pt idx="233">
                  <c:v>-0.17435062270221699</c:v>
                </c:pt>
                <c:pt idx="234">
                  <c:v>-5.0569101683746703E-2</c:v>
                </c:pt>
                <c:pt idx="235">
                  <c:v>-4.6342718541456801E-2</c:v>
                </c:pt>
                <c:pt idx="236">
                  <c:v>-4.8517517696153097E-2</c:v>
                </c:pt>
                <c:pt idx="237">
                  <c:v>7.7335839666151804E-2</c:v>
                </c:pt>
                <c:pt idx="238">
                  <c:v>1.4758979835483399</c:v>
                </c:pt>
                <c:pt idx="239">
                  <c:v>-0.77968636639604505</c:v>
                </c:pt>
                <c:pt idx="240">
                  <c:v>0.17500232030302901</c:v>
                </c:pt>
                <c:pt idx="241">
                  <c:v>-5.28441814012299E-2</c:v>
                </c:pt>
                <c:pt idx="242">
                  <c:v>0.22100866911491099</c:v>
                </c:pt>
                <c:pt idx="243">
                  <c:v>0.29938803588738599</c:v>
                </c:pt>
                <c:pt idx="244">
                  <c:v>0.18129729538856801</c:v>
                </c:pt>
                <c:pt idx="245">
                  <c:v>0.57493653483564999</c:v>
                </c:pt>
                <c:pt idx="246">
                  <c:v>0.490381217425711</c:v>
                </c:pt>
                <c:pt idx="247">
                  <c:v>0.101381384393001</c:v>
                </c:pt>
                <c:pt idx="248">
                  <c:v>0.89108851188881399</c:v>
                </c:pt>
                <c:pt idx="249">
                  <c:v>9.1229813250703506E-2</c:v>
                </c:pt>
                <c:pt idx="250">
                  <c:v>2.9506619033007402</c:v>
                </c:pt>
                <c:pt idx="251">
                  <c:v>-1.2237896234676</c:v>
                </c:pt>
                <c:pt idx="252">
                  <c:v>-0.260723145887649</c:v>
                </c:pt>
                <c:pt idx="253">
                  <c:v>1.18195659169065</c:v>
                </c:pt>
                <c:pt idx="254">
                  <c:v>1.1073227524362199</c:v>
                </c:pt>
                <c:pt idx="255">
                  <c:v>1.7249942791947701</c:v>
                </c:pt>
                <c:pt idx="256">
                  <c:v>3.1057826574036098</c:v>
                </c:pt>
                <c:pt idx="257">
                  <c:v>2.6273590088825798</c:v>
                </c:pt>
                <c:pt idx="258">
                  <c:v>-0.27749399538957098</c:v>
                </c:pt>
                <c:pt idx="259">
                  <c:v>0.30913407100158202</c:v>
                </c:pt>
                <c:pt idx="260">
                  <c:v>1.5122928237754001</c:v>
                </c:pt>
                <c:pt idx="261">
                  <c:v>0.16936690131425799</c:v>
                </c:pt>
                <c:pt idx="262">
                  <c:v>1.76583902252337</c:v>
                </c:pt>
                <c:pt idx="263">
                  <c:v>-0.77273258341314699</c:v>
                </c:pt>
                <c:pt idx="264">
                  <c:v>4.4402605466245797E-2</c:v>
                </c:pt>
                <c:pt idx="265">
                  <c:v>-0.20170781411821501</c:v>
                </c:pt>
                <c:pt idx="266">
                  <c:v>0.43798971703502798</c:v>
                </c:pt>
                <c:pt idx="267">
                  <c:v>-6.2668548557650403E-2</c:v>
                </c:pt>
                <c:pt idx="268">
                  <c:v>0.119349249757466</c:v>
                </c:pt>
                <c:pt idx="269">
                  <c:v>0.68112048954660598</c:v>
                </c:pt>
                <c:pt idx="270">
                  <c:v>0.20090974839213099</c:v>
                </c:pt>
                <c:pt idx="271">
                  <c:v>0.40636043832046997</c:v>
                </c:pt>
                <c:pt idx="272">
                  <c:v>0.345729112439561</c:v>
                </c:pt>
                <c:pt idx="273">
                  <c:v>-0.24488243298604001</c:v>
                </c:pt>
                <c:pt idx="274">
                  <c:v>1.9210316428751999</c:v>
                </c:pt>
                <c:pt idx="275">
                  <c:v>-0.28691965969791899</c:v>
                </c:pt>
                <c:pt idx="276">
                  <c:v>0.40847264690696899</c:v>
                </c:pt>
                <c:pt idx="277">
                  <c:v>0.809915043335106</c:v>
                </c:pt>
                <c:pt idx="278">
                  <c:v>0.12745165568811101</c:v>
                </c:pt>
                <c:pt idx="279">
                  <c:v>0.10832557997575799</c:v>
                </c:pt>
                <c:pt idx="280">
                  <c:v>0.249857763270908</c:v>
                </c:pt>
                <c:pt idx="281">
                  <c:v>0.58840823331977099</c:v>
                </c:pt>
                <c:pt idx="282">
                  <c:v>-0.163917825909276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3F-44CB-88B3-3723F5D6A16A}"/>
            </c:ext>
          </c:extLst>
        </c:ser>
        <c:ser>
          <c:idx val="1"/>
          <c:order val="1"/>
          <c:tx>
            <c:strRef>
              <c:f>Mensuales!$F$7</c:f>
              <c:strCache>
                <c:ptCount val="1"/>
                <c:pt idx="0">
                  <c:v>Pronóstico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Mensuales!$F$8:$F$294</c:f>
              <c:numCache>
                <c:formatCode>General</c:formatCode>
                <c:ptCount val="287"/>
                <c:pt idx="12" formatCode="0.000">
                  <c:v>-0.23063093849824748</c:v>
                </c:pt>
                <c:pt idx="13" formatCode="0.000">
                  <c:v>5.709815337332641E-5</c:v>
                </c:pt>
                <c:pt idx="14" formatCode="0.000">
                  <c:v>0.99458111604329258</c:v>
                </c:pt>
                <c:pt idx="15" formatCode="0.000">
                  <c:v>-0.7578323671168351</c:v>
                </c:pt>
                <c:pt idx="16" formatCode="0.000">
                  <c:v>-6.099515755151514E-2</c:v>
                </c:pt>
                <c:pt idx="17" formatCode="0.000">
                  <c:v>0.34253859240297352</c:v>
                </c:pt>
                <c:pt idx="18" formatCode="0.000">
                  <c:v>-0.30149532724906092</c:v>
                </c:pt>
                <c:pt idx="19" formatCode="0.000">
                  <c:v>-1.0060022115408393E-2</c:v>
                </c:pt>
                <c:pt idx="20" formatCode="0.000">
                  <c:v>7.0105332358938177E-3</c:v>
                </c:pt>
                <c:pt idx="21" formatCode="0.000">
                  <c:v>-0.16513660072160335</c:v>
                </c:pt>
                <c:pt idx="22" formatCode="0.000">
                  <c:v>1.3492008157472322</c:v>
                </c:pt>
                <c:pt idx="23" formatCode="0.000">
                  <c:v>-0.52575630048425415</c:v>
                </c:pt>
                <c:pt idx="24" formatCode="0.000">
                  <c:v>-0.1858047045955773</c:v>
                </c:pt>
                <c:pt idx="25" formatCode="0.000">
                  <c:v>0.10774264629265512</c:v>
                </c:pt>
                <c:pt idx="26" formatCode="0.000">
                  <c:v>1.9022224167663404</c:v>
                </c:pt>
                <c:pt idx="27" formatCode="0.000">
                  <c:v>0.3561923575706607</c:v>
                </c:pt>
                <c:pt idx="28" formatCode="0.000">
                  <c:v>0.86655842361148783</c:v>
                </c:pt>
                <c:pt idx="29" formatCode="0.000">
                  <c:v>1.1953804291962895</c:v>
                </c:pt>
                <c:pt idx="30" formatCode="0.000">
                  <c:v>0.48398291846719327</c:v>
                </c:pt>
                <c:pt idx="31" formatCode="0.000">
                  <c:v>0.62306146186582878</c:v>
                </c:pt>
                <c:pt idx="32" formatCode="0.000">
                  <c:v>0.64669248757444142</c:v>
                </c:pt>
                <c:pt idx="33" formatCode="0.000">
                  <c:v>0.38105054787144138</c:v>
                </c:pt>
                <c:pt idx="34" formatCode="0.000">
                  <c:v>1.7659452514889469</c:v>
                </c:pt>
                <c:pt idx="35" formatCode="0.000">
                  <c:v>-5.3367701757915276E-2</c:v>
                </c:pt>
                <c:pt idx="36" formatCode="0.000">
                  <c:v>0.30668257746213801</c:v>
                </c:pt>
                <c:pt idx="37" formatCode="0.000">
                  <c:v>1.2219122599097885</c:v>
                </c:pt>
                <c:pt idx="38" formatCode="0.000">
                  <c:v>1.0220850605341729</c:v>
                </c:pt>
                <c:pt idx="39" formatCode="0.000">
                  <c:v>-0.47183315554608707</c:v>
                </c:pt>
                <c:pt idx="40" formatCode="0.000">
                  <c:v>0.10242664394176029</c:v>
                </c:pt>
                <c:pt idx="41" formatCode="0.000">
                  <c:v>0.51395961592376227</c:v>
                </c:pt>
                <c:pt idx="42" formatCode="0.000">
                  <c:v>-0.16424464886436957</c:v>
                </c:pt>
                <c:pt idx="43" formatCode="0.000">
                  <c:v>5.6864117501132433E-2</c:v>
                </c:pt>
                <c:pt idx="44" formatCode="0.000">
                  <c:v>0.15564937795465136</c:v>
                </c:pt>
                <c:pt idx="45" formatCode="0.000">
                  <c:v>7.2414199800316437E-2</c:v>
                </c:pt>
                <c:pt idx="46" formatCode="0.000">
                  <c:v>1.5842728114665103</c:v>
                </c:pt>
                <c:pt idx="47" formatCode="0.000">
                  <c:v>-0.14304800516726124</c:v>
                </c:pt>
                <c:pt idx="48" formatCode="0.000">
                  <c:v>0.27851741886335013</c:v>
                </c:pt>
                <c:pt idx="49" formatCode="0.000">
                  <c:v>1.0968103731373751</c:v>
                </c:pt>
                <c:pt idx="50" formatCode="0.000">
                  <c:v>0.94787688654212332</c:v>
                </c:pt>
                <c:pt idx="51" formatCode="0.000">
                  <c:v>-0.4265502542039542</c:v>
                </c:pt>
                <c:pt idx="52" formatCode="0.000">
                  <c:v>0.1479435191049332</c:v>
                </c:pt>
                <c:pt idx="53" formatCode="0.000">
                  <c:v>0.59031967835907984</c:v>
                </c:pt>
                <c:pt idx="54" formatCode="0.000">
                  <c:v>-0.13667917074618235</c:v>
                </c:pt>
                <c:pt idx="55" formatCode="0.000">
                  <c:v>0.11049222261937372</c:v>
                </c:pt>
                <c:pt idx="56" formatCode="0.000">
                  <c:v>0.22343251729191527</c:v>
                </c:pt>
                <c:pt idx="57" formatCode="0.000">
                  <c:v>0.16583289891971664</c:v>
                </c:pt>
                <c:pt idx="58" formatCode="0.000">
                  <c:v>1.386220095040124</c:v>
                </c:pt>
                <c:pt idx="59" formatCode="0.000">
                  <c:v>-0.29103203119248117</c:v>
                </c:pt>
                <c:pt idx="60" formatCode="0.000">
                  <c:v>7.4431779837964895E-2</c:v>
                </c:pt>
                <c:pt idx="61" formatCode="0.000">
                  <c:v>0.92023053590751924</c:v>
                </c:pt>
                <c:pt idx="62" formatCode="0.000">
                  <c:v>0.69281111442744991</c:v>
                </c:pt>
                <c:pt idx="63" formatCode="0.000">
                  <c:v>-0.42145423860534387</c:v>
                </c:pt>
                <c:pt idx="64" formatCode="0.000">
                  <c:v>5.2349075292036862E-2</c:v>
                </c:pt>
                <c:pt idx="65" formatCode="0.000">
                  <c:v>0.52527252787931844</c:v>
                </c:pt>
                <c:pt idx="66" formatCode="0.000">
                  <c:v>-0.19553085285293897</c:v>
                </c:pt>
                <c:pt idx="67" formatCode="0.000">
                  <c:v>1.9423034178576493E-2</c:v>
                </c:pt>
                <c:pt idx="68" formatCode="0.000">
                  <c:v>0.13614897847998736</c:v>
                </c:pt>
                <c:pt idx="69" formatCode="0.000">
                  <c:v>7.4347191274734437E-2</c:v>
                </c:pt>
                <c:pt idx="70" formatCode="0.000">
                  <c:v>1.2202735694737512</c:v>
                </c:pt>
                <c:pt idx="71" formatCode="0.000">
                  <c:v>-0.4356633288459042</c:v>
                </c:pt>
                <c:pt idx="72" formatCode="0.000">
                  <c:v>-7.6649176740626157E-2</c:v>
                </c:pt>
                <c:pt idx="73" formatCode="0.000">
                  <c:v>0.73311634696916839</c:v>
                </c:pt>
                <c:pt idx="74" formatCode="0.000">
                  <c:v>0.55861262857300853</c:v>
                </c:pt>
                <c:pt idx="75" formatCode="0.000">
                  <c:v>-0.5301725741041472</c:v>
                </c:pt>
                <c:pt idx="76" formatCode="0.000">
                  <c:v>-7.3363858131934065E-2</c:v>
                </c:pt>
                <c:pt idx="77" formatCode="0.000">
                  <c:v>0.4437273703303683</c:v>
                </c:pt>
                <c:pt idx="78" formatCode="0.000">
                  <c:v>-0.36412120897380296</c:v>
                </c:pt>
                <c:pt idx="79" formatCode="0.000">
                  <c:v>-3.9966502146060789E-2</c:v>
                </c:pt>
                <c:pt idx="80" formatCode="0.000">
                  <c:v>-1.7967590969567848E-3</c:v>
                </c:pt>
                <c:pt idx="81" formatCode="0.000">
                  <c:v>2.2387023924294744E-2</c:v>
                </c:pt>
                <c:pt idx="82" formatCode="0.000">
                  <c:v>1.1388344782743889</c:v>
                </c:pt>
                <c:pt idx="83" formatCode="0.000">
                  <c:v>-0.49295680399630515</c:v>
                </c:pt>
                <c:pt idx="84" formatCode="0.000">
                  <c:v>-9.2731443023504195E-2</c:v>
                </c:pt>
                <c:pt idx="85" formatCode="0.000">
                  <c:v>0.62151001430392028</c:v>
                </c:pt>
                <c:pt idx="86" formatCode="0.000">
                  <c:v>0.55460844605730009</c:v>
                </c:pt>
                <c:pt idx="87" formatCode="0.000">
                  <c:v>-0.52890881075108787</c:v>
                </c:pt>
                <c:pt idx="88" formatCode="0.000">
                  <c:v>-1.2054457076456387E-2</c:v>
                </c:pt>
                <c:pt idx="89" formatCode="0.000">
                  <c:v>0.59728350022569798</c:v>
                </c:pt>
                <c:pt idx="90" formatCode="0.000">
                  <c:v>-0.28169278817725107</c:v>
                </c:pt>
                <c:pt idx="91" formatCode="0.000">
                  <c:v>0.11880956221848951</c:v>
                </c:pt>
                <c:pt idx="92" formatCode="0.000">
                  <c:v>0.53471916314746637</c:v>
                </c:pt>
                <c:pt idx="93" formatCode="0.000">
                  <c:v>0.57100031793724437</c:v>
                </c:pt>
                <c:pt idx="94" formatCode="0.000">
                  <c:v>1.6501793609818511</c:v>
                </c:pt>
                <c:pt idx="95" formatCode="0.000">
                  <c:v>-0.14208614430147704</c:v>
                </c:pt>
                <c:pt idx="96" formatCode="0.000">
                  <c:v>0.24027465633803255</c:v>
                </c:pt>
                <c:pt idx="97" formatCode="0.000">
                  <c:v>0.9268237516720832</c:v>
                </c:pt>
                <c:pt idx="98" formatCode="0.000">
                  <c:v>0.72146900784548162</c:v>
                </c:pt>
                <c:pt idx="99" formatCode="0.000">
                  <c:v>-0.17616078973632948</c:v>
                </c:pt>
                <c:pt idx="100" formatCode="0.000">
                  <c:v>0.16929701694650812</c:v>
                </c:pt>
                <c:pt idx="101" formatCode="0.000">
                  <c:v>0.66693450659364339</c:v>
                </c:pt>
                <c:pt idx="102" formatCode="0.000">
                  <c:v>-0.17667430900703887</c:v>
                </c:pt>
                <c:pt idx="103" formatCode="0.000">
                  <c:v>0.31548461817679158</c:v>
                </c:pt>
                <c:pt idx="104" formatCode="0.000">
                  <c:v>6.4243319488674802E-2</c:v>
                </c:pt>
                <c:pt idx="105" formatCode="0.000">
                  <c:v>6.7015185581041914E-3</c:v>
                </c:pt>
                <c:pt idx="106" formatCode="0.000">
                  <c:v>1.1120588148988113</c:v>
                </c:pt>
                <c:pt idx="107" formatCode="0.000">
                  <c:v>-0.59481340298432528</c:v>
                </c:pt>
                <c:pt idx="108" formatCode="0.000">
                  <c:v>-6.7798231708315032E-2</c:v>
                </c:pt>
                <c:pt idx="109" formatCode="0.000">
                  <c:v>0.51113648027476999</c:v>
                </c:pt>
                <c:pt idx="110" formatCode="0.000">
                  <c:v>0.43168592445281562</c:v>
                </c:pt>
                <c:pt idx="111" formatCode="0.000">
                  <c:v>-0.4548622557907363</c:v>
                </c:pt>
                <c:pt idx="112" formatCode="0.000">
                  <c:v>9.4754499041253132E-3</c:v>
                </c:pt>
                <c:pt idx="113" formatCode="0.000">
                  <c:v>0.5412531280790478</c:v>
                </c:pt>
                <c:pt idx="114" formatCode="0.000">
                  <c:v>-0.28737601898684084</c:v>
                </c:pt>
                <c:pt idx="115" formatCode="0.000">
                  <c:v>0.18601496219701702</c:v>
                </c:pt>
                <c:pt idx="116" formatCode="0.000">
                  <c:v>-2.2675232108100435E-3</c:v>
                </c:pt>
                <c:pt idx="117" formatCode="0.000">
                  <c:v>-7.0300859240832181E-4</c:v>
                </c:pt>
                <c:pt idx="118" formatCode="0.000">
                  <c:v>1.0900351985743564</c:v>
                </c:pt>
                <c:pt idx="119" formatCode="0.000">
                  <c:v>-0.5244377410022627</c:v>
                </c:pt>
                <c:pt idx="120" formatCode="0.000">
                  <c:v>-4.2584850969095145E-2</c:v>
                </c:pt>
                <c:pt idx="121" formatCode="0.000">
                  <c:v>0.53452243527011234</c:v>
                </c:pt>
                <c:pt idx="122" formatCode="0.000">
                  <c:v>0.39928952744024204</c:v>
                </c:pt>
                <c:pt idx="123" formatCode="0.000">
                  <c:v>-0.26161497182337368</c:v>
                </c:pt>
                <c:pt idx="124" formatCode="0.000">
                  <c:v>5.9180137452204365E-2</c:v>
                </c:pt>
                <c:pt idx="125" formatCode="0.000">
                  <c:v>0.61877511949249819</c:v>
                </c:pt>
                <c:pt idx="126" formatCode="0.000">
                  <c:v>-0.23564538298296664</c:v>
                </c:pt>
                <c:pt idx="127" formatCode="0.000">
                  <c:v>0.21801233657085356</c:v>
                </c:pt>
                <c:pt idx="128" formatCode="0.000">
                  <c:v>0.17699904566872626</c:v>
                </c:pt>
                <c:pt idx="129" formatCode="0.000">
                  <c:v>7.8719997421600713E-2</c:v>
                </c:pt>
                <c:pt idx="130" formatCode="0.000">
                  <c:v>1.3633066752371568</c:v>
                </c:pt>
                <c:pt idx="131" formatCode="0.000">
                  <c:v>-0.41000081258794824</c:v>
                </c:pt>
                <c:pt idx="132" formatCode="0.000">
                  <c:v>9.9780167021006033E-2</c:v>
                </c:pt>
                <c:pt idx="133" formatCode="0.000">
                  <c:v>0.59310988661915143</c:v>
                </c:pt>
                <c:pt idx="134" formatCode="0.000">
                  <c:v>0.44009951350707099</c:v>
                </c:pt>
                <c:pt idx="135" formatCode="0.000">
                  <c:v>-0.18648470289974312</c:v>
                </c:pt>
                <c:pt idx="136" formatCode="0.000">
                  <c:v>0.14319735440118242</c:v>
                </c:pt>
                <c:pt idx="137" formatCode="0.000">
                  <c:v>0.6595991422552111</c:v>
                </c:pt>
                <c:pt idx="138" formatCode="0.000">
                  <c:v>-0.18044680895888141</c:v>
                </c:pt>
                <c:pt idx="139" formatCode="0.000">
                  <c:v>0.27838412539667878</c:v>
                </c:pt>
                <c:pt idx="140" formatCode="0.000">
                  <c:v>8.5780033585757642E-2</c:v>
                </c:pt>
                <c:pt idx="141" formatCode="0.000">
                  <c:v>-1.5225075934436033E-2</c:v>
                </c:pt>
                <c:pt idx="142" formatCode="0.000">
                  <c:v>1.3299559275789241</c:v>
                </c:pt>
                <c:pt idx="143" formatCode="0.000">
                  <c:v>-0.55189250406987433</c:v>
                </c:pt>
                <c:pt idx="144" formatCode="0.000">
                  <c:v>2.9616666537372882E-2</c:v>
                </c:pt>
                <c:pt idx="145" formatCode="0.000">
                  <c:v>0.55270676067364322</c:v>
                </c:pt>
                <c:pt idx="146" formatCode="0.000">
                  <c:v>0.52815943776174779</c:v>
                </c:pt>
                <c:pt idx="147" formatCode="0.000">
                  <c:v>-0.21380849675030811</c:v>
                </c:pt>
                <c:pt idx="148" formatCode="0.000">
                  <c:v>0.14281567943430301</c:v>
                </c:pt>
                <c:pt idx="149" formatCode="0.000">
                  <c:v>0.68701833322640682</c:v>
                </c:pt>
                <c:pt idx="150" formatCode="0.000">
                  <c:v>-0.11580476470113032</c:v>
                </c:pt>
                <c:pt idx="151" formatCode="0.000">
                  <c:v>0.31312316622656372</c:v>
                </c:pt>
                <c:pt idx="152" formatCode="0.000">
                  <c:v>0.12347270551412695</c:v>
                </c:pt>
                <c:pt idx="153" formatCode="0.000">
                  <c:v>6.2975734447116988E-2</c:v>
                </c:pt>
                <c:pt idx="154" formatCode="0.000">
                  <c:v>1.5516626754620115</c:v>
                </c:pt>
                <c:pt idx="155" formatCode="0.000">
                  <c:v>-0.41152850819980541</c:v>
                </c:pt>
                <c:pt idx="156" formatCode="0.000">
                  <c:v>9.1623583083087295E-2</c:v>
                </c:pt>
                <c:pt idx="157" formatCode="0.000">
                  <c:v>0.57515544342676095</c:v>
                </c:pt>
                <c:pt idx="158" formatCode="0.000">
                  <c:v>0.37989848516270891</c:v>
                </c:pt>
                <c:pt idx="159" formatCode="0.000">
                  <c:v>-0.11088942840783739</c:v>
                </c:pt>
                <c:pt idx="160" formatCode="0.000">
                  <c:v>0.16101988667811859</c:v>
                </c:pt>
                <c:pt idx="161" formatCode="0.000">
                  <c:v>0.70711959752649622</c:v>
                </c:pt>
                <c:pt idx="162" formatCode="0.000">
                  <c:v>-0.10710739286650012</c:v>
                </c:pt>
                <c:pt idx="163" formatCode="0.000">
                  <c:v>0.22739503542991196</c:v>
                </c:pt>
                <c:pt idx="164" formatCode="0.000">
                  <c:v>7.1040623298382483E-2</c:v>
                </c:pt>
                <c:pt idx="165" formatCode="0.000">
                  <c:v>7.3334562212950594E-2</c:v>
                </c:pt>
                <c:pt idx="166" formatCode="0.000">
                  <c:v>1.518239001661442</c:v>
                </c:pt>
                <c:pt idx="167" formatCode="0.000">
                  <c:v>-0.4961377883117396</c:v>
                </c:pt>
                <c:pt idx="168" formatCode="0.000">
                  <c:v>5.4849105402007242E-2</c:v>
                </c:pt>
                <c:pt idx="169" formatCode="0.000">
                  <c:v>0.40690173802259355</c:v>
                </c:pt>
                <c:pt idx="170" formatCode="0.000">
                  <c:v>0.31737299082462733</c:v>
                </c:pt>
                <c:pt idx="171" formatCode="0.000">
                  <c:v>-0.14175873062937414</c:v>
                </c:pt>
                <c:pt idx="172" formatCode="0.000">
                  <c:v>0.16570738629797457</c:v>
                </c:pt>
                <c:pt idx="173" formatCode="0.000">
                  <c:v>0.7219577638154655</c:v>
                </c:pt>
                <c:pt idx="174" formatCode="0.000">
                  <c:v>-5.1289849319331615E-2</c:v>
                </c:pt>
                <c:pt idx="175" formatCode="0.000">
                  <c:v>0.26884729132432994</c:v>
                </c:pt>
                <c:pt idx="176" formatCode="0.000">
                  <c:v>0.10607341339048842</c:v>
                </c:pt>
                <c:pt idx="177" formatCode="0.000">
                  <c:v>0.1249766616111426</c:v>
                </c:pt>
                <c:pt idx="178" formatCode="0.000">
                  <c:v>1.6021367930982526</c:v>
                </c:pt>
                <c:pt idx="179" formatCode="0.000">
                  <c:v>-0.5263693066012114</c:v>
                </c:pt>
                <c:pt idx="180" formatCode="0.000">
                  <c:v>-1.6107359920872033E-2</c:v>
                </c:pt>
                <c:pt idx="181" formatCode="0.000">
                  <c:v>0.42512148809259265</c:v>
                </c:pt>
                <c:pt idx="182" formatCode="0.000">
                  <c:v>0.35486776150284566</c:v>
                </c:pt>
                <c:pt idx="183" formatCode="0.000">
                  <c:v>-0.17245092226962594</c:v>
                </c:pt>
                <c:pt idx="184" formatCode="0.000">
                  <c:v>5.5942106087556676E-2</c:v>
                </c:pt>
                <c:pt idx="185" formatCode="0.000">
                  <c:v>0.64520444840809188</c:v>
                </c:pt>
                <c:pt idx="186" formatCode="0.000">
                  <c:v>-0.3313957481624038</c:v>
                </c:pt>
                <c:pt idx="187" formatCode="0.000">
                  <c:v>6.3876930512242164E-2</c:v>
                </c:pt>
                <c:pt idx="188" formatCode="0.000">
                  <c:v>-2.6826701016241489E-2</c:v>
                </c:pt>
                <c:pt idx="189" formatCode="0.000">
                  <c:v>1.3041243023260485E-2</c:v>
                </c:pt>
                <c:pt idx="190" formatCode="0.000">
                  <c:v>1.6356653518973143</c:v>
                </c:pt>
                <c:pt idx="191" formatCode="0.000">
                  <c:v>-0.65447120353609833</c:v>
                </c:pt>
                <c:pt idx="192" formatCode="0.000">
                  <c:v>-3.0957741850432596E-2</c:v>
                </c:pt>
                <c:pt idx="193" formatCode="0.000">
                  <c:v>0.32848492172602473</c:v>
                </c:pt>
                <c:pt idx="194" formatCode="0.000">
                  <c:v>0.20732226748446089</c:v>
                </c:pt>
                <c:pt idx="195" formatCode="0.000">
                  <c:v>-0.12460820634687991</c:v>
                </c:pt>
                <c:pt idx="196" formatCode="0.000">
                  <c:v>-1.6821997848432968E-2</c:v>
                </c:pt>
                <c:pt idx="197" formatCode="0.000">
                  <c:v>0.61533080274233998</c:v>
                </c:pt>
                <c:pt idx="198" formatCode="0.000">
                  <c:v>-0.33423607170338682</c:v>
                </c:pt>
                <c:pt idx="199" formatCode="0.000">
                  <c:v>5.632099896369519E-2</c:v>
                </c:pt>
                <c:pt idx="200" formatCode="0.000">
                  <c:v>-3.0270754606099473E-2</c:v>
                </c:pt>
                <c:pt idx="201" formatCode="0.000">
                  <c:v>6.2593785245109723E-3</c:v>
                </c:pt>
                <c:pt idx="202" formatCode="0.000">
                  <c:v>1.5463323402520432</c:v>
                </c:pt>
                <c:pt idx="203" formatCode="0.000">
                  <c:v>-0.76177270476153591</c:v>
                </c:pt>
                <c:pt idx="204" formatCode="0.000">
                  <c:v>-0.19747801004052493</c:v>
                </c:pt>
                <c:pt idx="205" formatCode="0.000">
                  <c:v>0.15035839911774035</c:v>
                </c:pt>
                <c:pt idx="206" formatCode="0.000">
                  <c:v>9.653112555373225E-2</c:v>
                </c:pt>
                <c:pt idx="207" formatCode="0.000">
                  <c:v>-0.29060514608321231</c:v>
                </c:pt>
                <c:pt idx="208" formatCode="0.000">
                  <c:v>-9.9667896142211942E-2</c:v>
                </c:pt>
                <c:pt idx="209" formatCode="0.000">
                  <c:v>0.54652248354733657</c:v>
                </c:pt>
                <c:pt idx="210" formatCode="0.000">
                  <c:v>-0.26930150037107764</c:v>
                </c:pt>
                <c:pt idx="211" formatCode="0.000">
                  <c:v>6.2694635788484221E-2</c:v>
                </c:pt>
                <c:pt idx="212" formatCode="0.000">
                  <c:v>1.5913422742364125E-2</c:v>
                </c:pt>
                <c:pt idx="213" formatCode="0.000">
                  <c:v>5.2829372914609554E-2</c:v>
                </c:pt>
                <c:pt idx="214" formatCode="0.000">
                  <c:v>1.6079671361894088</c:v>
                </c:pt>
                <c:pt idx="215" formatCode="0.000">
                  <c:v>-0.77989555729186144</c:v>
                </c:pt>
                <c:pt idx="216" formatCode="0.000">
                  <c:v>-7.7748346692929571E-2</c:v>
                </c:pt>
                <c:pt idx="217" formatCode="0.000">
                  <c:v>0.2446781929514287</c:v>
                </c:pt>
                <c:pt idx="218" formatCode="0.000">
                  <c:v>0.11564931590163344</c:v>
                </c:pt>
                <c:pt idx="219" formatCode="0.000">
                  <c:v>-0.10917940770565415</c:v>
                </c:pt>
                <c:pt idx="220" formatCode="0.000">
                  <c:v>5.7675772058332908E-3</c:v>
                </c:pt>
                <c:pt idx="221" formatCode="0.000">
                  <c:v>0.61853630398151971</c:v>
                </c:pt>
                <c:pt idx="222" formatCode="0.000">
                  <c:v>-0.26287486671350002</c:v>
                </c:pt>
                <c:pt idx="223" formatCode="0.000">
                  <c:v>5.5923590315278549E-3</c:v>
                </c:pt>
                <c:pt idx="224" formatCode="0.000">
                  <c:v>-4.5921987714016052E-2</c:v>
                </c:pt>
                <c:pt idx="225" formatCode="0.000">
                  <c:v>0.10075641846966987</c:v>
                </c:pt>
                <c:pt idx="226" formatCode="0.000">
                  <c:v>1.6828154337736732</c:v>
                </c:pt>
                <c:pt idx="227" formatCode="0.000">
                  <c:v>-0.72949699477131524</c:v>
                </c:pt>
                <c:pt idx="228" formatCode="0.000">
                  <c:v>-3.581880384453498E-2</c:v>
                </c:pt>
                <c:pt idx="229" formatCode="0.000">
                  <c:v>0.31116757919704879</c:v>
                </c:pt>
                <c:pt idx="230" formatCode="0.000">
                  <c:v>0.17049193134639126</c:v>
                </c:pt>
                <c:pt idx="231" formatCode="0.000">
                  <c:v>6.5061645289035103E-2</c:v>
                </c:pt>
                <c:pt idx="232" formatCode="0.000">
                  <c:v>0.21057698862264082</c:v>
                </c:pt>
                <c:pt idx="233" formatCode="0.000">
                  <c:v>0.81386308061646173</c:v>
                </c:pt>
                <c:pt idx="234" formatCode="0.000">
                  <c:v>-0.14693871120079371</c:v>
                </c:pt>
                <c:pt idx="235" formatCode="0.000">
                  <c:v>5.366218109709231E-2</c:v>
                </c:pt>
                <c:pt idx="236" formatCode="0.000">
                  <c:v>0.18451527172111248</c:v>
                </c:pt>
                <c:pt idx="237" formatCode="0.000">
                  <c:v>9.8830518821044905E-2</c:v>
                </c:pt>
                <c:pt idx="238" formatCode="0.000">
                  <c:v>1.7338430734312116</c:v>
                </c:pt>
                <c:pt idx="239" formatCode="0.000">
                  <c:v>-0.7729469954139665</c:v>
                </c:pt>
                <c:pt idx="240" formatCode="0.000">
                  <c:v>-6.3422215085384731E-2</c:v>
                </c:pt>
                <c:pt idx="241" formatCode="0.000">
                  <c:v>0.25660943190684027</c:v>
                </c:pt>
                <c:pt idx="242" formatCode="0.000">
                  <c:v>0.23977718234939918</c:v>
                </c:pt>
                <c:pt idx="243" formatCode="0.000">
                  <c:v>-1.1267935148370212E-2</c:v>
                </c:pt>
                <c:pt idx="244" formatCode="0.000">
                  <c:v>3.9608613989867841E-2</c:v>
                </c:pt>
                <c:pt idx="245" formatCode="0.000">
                  <c:v>0.60355580055650337</c:v>
                </c:pt>
                <c:pt idx="246" formatCode="0.000">
                  <c:v>-0.1548624065820417</c:v>
                </c:pt>
                <c:pt idx="247" formatCode="0.000">
                  <c:v>8.5482891219495455E-2</c:v>
                </c:pt>
                <c:pt idx="248" formatCode="0.000">
                  <c:v>0.21675401847052966</c:v>
                </c:pt>
                <c:pt idx="249" formatCode="0.000">
                  <c:v>0.24840070397427047</c:v>
                </c:pt>
                <c:pt idx="250" formatCode="0.000">
                  <c:v>1.8489117187825133</c:v>
                </c:pt>
                <c:pt idx="251" formatCode="0.000">
                  <c:v>-0.48739687899871736</c:v>
                </c:pt>
                <c:pt idx="252" formatCode="0.000">
                  <c:v>0.17151078096980554</c:v>
                </c:pt>
                <c:pt idx="253" formatCode="0.000">
                  <c:v>0.37153735907931362</c:v>
                </c:pt>
                <c:pt idx="254" formatCode="0.000">
                  <c:v>0.50327360903199947</c:v>
                </c:pt>
                <c:pt idx="255" formatCode="0.000">
                  <c:v>0.35322766760897106</c:v>
                </c:pt>
                <c:pt idx="256" formatCode="0.000">
                  <c:v>0.50595903843856793</c:v>
                </c:pt>
                <c:pt idx="257" formatCode="0.000">
                  <c:v>1.322194172123023</c:v>
                </c:pt>
                <c:pt idx="258" formatCode="0.000">
                  <c:v>0.77943873877248704</c:v>
                </c:pt>
                <c:pt idx="259" formatCode="0.000">
                  <c:v>0.79152106049724846</c:v>
                </c:pt>
                <c:pt idx="260" formatCode="0.000">
                  <c:v>0.94117218575702177</c:v>
                </c:pt>
                <c:pt idx="261" formatCode="0.000">
                  <c:v>0.8925015867127859</c:v>
                </c:pt>
                <c:pt idx="262" formatCode="0.000">
                  <c:v>2.5596630068931363</c:v>
                </c:pt>
                <c:pt idx="263" formatCode="0.000">
                  <c:v>-0.14363639392176475</c:v>
                </c:pt>
                <c:pt idx="264" formatCode="0.000">
                  <c:v>0.56007368772965149</c:v>
                </c:pt>
                <c:pt idx="265" formatCode="0.000">
                  <c:v>0.87293924018807179</c:v>
                </c:pt>
                <c:pt idx="266" formatCode="0.000">
                  <c:v>0.78920246648473069</c:v>
                </c:pt>
                <c:pt idx="267" formatCode="0.000">
                  <c:v>0.61134830350672165</c:v>
                </c:pt>
                <c:pt idx="268" formatCode="0.000">
                  <c:v>0.66180498708858315</c:v>
                </c:pt>
                <c:pt idx="269" formatCode="0.000">
                  <c:v>1.0186120584850831</c:v>
                </c:pt>
                <c:pt idx="270" formatCode="0.000">
                  <c:v>7.0989228650822245E-2</c:v>
                </c:pt>
                <c:pt idx="271" formatCode="0.000">
                  <c:v>0.25314301760728664</c:v>
                </c:pt>
                <c:pt idx="272" formatCode="0.000">
                  <c:v>0.56099600139752559</c:v>
                </c:pt>
                <c:pt idx="273" formatCode="0.000">
                  <c:v>0.29934852381058652</c:v>
                </c:pt>
                <c:pt idx="274" formatCode="0.000">
                  <c:v>1.9701550378037789</c:v>
                </c:pt>
                <c:pt idx="275" formatCode="0.000">
                  <c:v>-0.64679437398726702</c:v>
                </c:pt>
                <c:pt idx="276" formatCode="0.000">
                  <c:v>0.16565053879516406</c:v>
                </c:pt>
                <c:pt idx="277" formatCode="0.000">
                  <c:v>0.50105649782738171</c:v>
                </c:pt>
                <c:pt idx="278" formatCode="0.000">
                  <c:v>0.62817996078024629</c:v>
                </c:pt>
                <c:pt idx="279" formatCode="0.000">
                  <c:v>0.40166307179326843</c:v>
                </c:pt>
                <c:pt idx="280" formatCode="0.000">
                  <c:v>0.50242603682719711</c:v>
                </c:pt>
                <c:pt idx="281" formatCode="0.000">
                  <c:v>0.90736086526928639</c:v>
                </c:pt>
                <c:pt idx="282" formatCode="0.000">
                  <c:v>4.0669393028415768E-3</c:v>
                </c:pt>
                <c:pt idx="283" formatCode="0.000">
                  <c:v>0.15511806323451841</c:v>
                </c:pt>
                <c:pt idx="284" formatCode="0.000">
                  <c:v>2.2356439023458571E-2</c:v>
                </c:pt>
                <c:pt idx="285" formatCode="0.000">
                  <c:v>-0.24999892362453252</c:v>
                </c:pt>
                <c:pt idx="286" formatCode="0.000">
                  <c:v>1.5229402275893102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3F-44CB-88B3-3723F5D6A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6064687"/>
        <c:axId val="1946049327"/>
      </c:lineChart>
      <c:catAx>
        <c:axId val="1946064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46049327"/>
        <c:crosses val="autoZero"/>
        <c:auto val="1"/>
        <c:lblAlgn val="ctr"/>
        <c:lblOffset val="990"/>
        <c:noMultiLvlLbl val="0"/>
      </c:catAx>
      <c:valAx>
        <c:axId val="19460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46064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400" b="0" i="0" u="none" strike="noStrike" baseline="0"/>
              <a:t>Comparación del IPC en el sector Transporte y su Pronóstico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'Holt-Winters.1'!$C$6</c:f>
              <c:strCache>
                <c:ptCount val="1"/>
                <c:pt idx="0">
                  <c:v>IPC.Transporte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'Holt-Winters.1'!$B$8:$B$289</c:f>
              <c:numCache>
                <c:formatCode>General</c:formatCode>
                <c:ptCount val="282"/>
                <c:pt idx="0">
                  <c:v>0.7784529</c:v>
                </c:pt>
                <c:pt idx="1">
                  <c:v>0.86787800000000004</c:v>
                </c:pt>
                <c:pt idx="2">
                  <c:v>1.2115399</c:v>
                </c:pt>
                <c:pt idx="3">
                  <c:v>0.54967619999999995</c:v>
                </c:pt>
                <c:pt idx="4">
                  <c:v>0.85256200000000004</c:v>
                </c:pt>
                <c:pt idx="5">
                  <c:v>1.0038099</c:v>
                </c:pt>
                <c:pt idx="6">
                  <c:v>0.72034330000000002</c:v>
                </c:pt>
                <c:pt idx="7">
                  <c:v>0.84140800000000004</c:v>
                </c:pt>
                <c:pt idx="8">
                  <c:v>0.86095770000000005</c:v>
                </c:pt>
                <c:pt idx="9">
                  <c:v>0.77738339999999995</c:v>
                </c:pt>
                <c:pt idx="10">
                  <c:v>1.300276</c:v>
                </c:pt>
                <c:pt idx="11">
                  <c:v>0.62483759999999999</c:v>
                </c:pt>
                <c:pt idx="12">
                  <c:v>0.86946869999999998</c:v>
                </c:pt>
                <c:pt idx="13">
                  <c:v>0.92698720000000001</c:v>
                </c:pt>
                <c:pt idx="14">
                  <c:v>0.77331450000000002</c:v>
                </c:pt>
                <c:pt idx="15">
                  <c:v>0.87814970000000003</c:v>
                </c:pt>
                <c:pt idx="16">
                  <c:v>0.91537939999999995</c:v>
                </c:pt>
                <c:pt idx="17">
                  <c:v>1.0929971999999999</c:v>
                </c:pt>
                <c:pt idx="18">
                  <c:v>0.83809800000000001</c:v>
                </c:pt>
                <c:pt idx="19">
                  <c:v>0.73146710000000004</c:v>
                </c:pt>
                <c:pt idx="20">
                  <c:v>0.92971789999999999</c:v>
                </c:pt>
                <c:pt idx="21">
                  <c:v>0.86773040000000001</c:v>
                </c:pt>
                <c:pt idx="22">
                  <c:v>1.1075657999999999</c:v>
                </c:pt>
                <c:pt idx="23">
                  <c:v>1.4719572999999999</c:v>
                </c:pt>
                <c:pt idx="24">
                  <c:v>1.5053605000000001</c:v>
                </c:pt>
                <c:pt idx="25">
                  <c:v>1.4666256</c:v>
                </c:pt>
                <c:pt idx="26">
                  <c:v>1.4936126000000001</c:v>
                </c:pt>
                <c:pt idx="27">
                  <c:v>1.4946309</c:v>
                </c:pt>
                <c:pt idx="28">
                  <c:v>0.93144930000000004</c:v>
                </c:pt>
                <c:pt idx="29">
                  <c:v>1.1401554</c:v>
                </c:pt>
                <c:pt idx="30">
                  <c:v>0.71335079999999995</c:v>
                </c:pt>
                <c:pt idx="31">
                  <c:v>0.83787670000000003</c:v>
                </c:pt>
                <c:pt idx="32">
                  <c:v>0.79299339999999996</c:v>
                </c:pt>
                <c:pt idx="33">
                  <c:v>0.88574470000000005</c:v>
                </c:pt>
                <c:pt idx="34">
                  <c:v>1.1691601</c:v>
                </c:pt>
                <c:pt idx="35">
                  <c:v>0.60986050000000003</c:v>
                </c:pt>
                <c:pt idx="36">
                  <c:v>0.87575550000000002</c:v>
                </c:pt>
                <c:pt idx="37">
                  <c:v>0.93018369999999995</c:v>
                </c:pt>
                <c:pt idx="38">
                  <c:v>0.84773489999999996</c:v>
                </c:pt>
                <c:pt idx="39">
                  <c:v>0.78679299999999996</c:v>
                </c:pt>
                <c:pt idx="40">
                  <c:v>0.8902021</c:v>
                </c:pt>
                <c:pt idx="41">
                  <c:v>1.1610157000000001</c:v>
                </c:pt>
                <c:pt idx="42">
                  <c:v>0.76100469999999998</c:v>
                </c:pt>
                <c:pt idx="43">
                  <c:v>0.97222500000000001</c:v>
                </c:pt>
                <c:pt idx="44">
                  <c:v>1.1238497999999999</c:v>
                </c:pt>
                <c:pt idx="45">
                  <c:v>1.35527</c:v>
                </c:pt>
                <c:pt idx="46">
                  <c:v>1.2630923999999999</c:v>
                </c:pt>
                <c:pt idx="47">
                  <c:v>0.77347060000000001</c:v>
                </c:pt>
                <c:pt idx="48">
                  <c:v>0.7709222</c:v>
                </c:pt>
                <c:pt idx="49">
                  <c:v>1.0651972000000001</c:v>
                </c:pt>
                <c:pt idx="50">
                  <c:v>0.7847094</c:v>
                </c:pt>
                <c:pt idx="51">
                  <c:v>0.93461819999999995</c:v>
                </c:pt>
                <c:pt idx="52">
                  <c:v>0.90339769999999997</c:v>
                </c:pt>
                <c:pt idx="53">
                  <c:v>1.1457166000000001</c:v>
                </c:pt>
                <c:pt idx="54">
                  <c:v>0.77390159999999997</c:v>
                </c:pt>
                <c:pt idx="55">
                  <c:v>0.93227099999999996</c:v>
                </c:pt>
                <c:pt idx="56">
                  <c:v>0.96015099999999998</c:v>
                </c:pt>
                <c:pt idx="57">
                  <c:v>1.0596341</c:v>
                </c:pt>
                <c:pt idx="58">
                  <c:v>1.2593139</c:v>
                </c:pt>
                <c:pt idx="59">
                  <c:v>0.64057059999999999</c:v>
                </c:pt>
                <c:pt idx="60">
                  <c:v>0.8394064</c:v>
                </c:pt>
                <c:pt idx="61">
                  <c:v>0.91925299999999999</c:v>
                </c:pt>
                <c:pt idx="62">
                  <c:v>1.0581867</c:v>
                </c:pt>
                <c:pt idx="63">
                  <c:v>0.78663810000000001</c:v>
                </c:pt>
                <c:pt idx="64">
                  <c:v>0.90481829999999996</c:v>
                </c:pt>
                <c:pt idx="65">
                  <c:v>1.2165193999999999</c:v>
                </c:pt>
                <c:pt idx="66">
                  <c:v>0.5366168</c:v>
                </c:pt>
                <c:pt idx="67">
                  <c:v>0.93222700000000003</c:v>
                </c:pt>
                <c:pt idx="68">
                  <c:v>0.7936706</c:v>
                </c:pt>
                <c:pt idx="69">
                  <c:v>0.96752749999999998</c:v>
                </c:pt>
                <c:pt idx="70">
                  <c:v>1.2630627000000001</c:v>
                </c:pt>
                <c:pt idx="71">
                  <c:v>0.51210940000000005</c:v>
                </c:pt>
                <c:pt idx="72">
                  <c:v>0.88599470000000002</c:v>
                </c:pt>
                <c:pt idx="73">
                  <c:v>0.83565929999999999</c:v>
                </c:pt>
                <c:pt idx="74">
                  <c:v>0.96600790000000003</c:v>
                </c:pt>
                <c:pt idx="75">
                  <c:v>0.75342480000000001</c:v>
                </c:pt>
                <c:pt idx="76">
                  <c:v>0.87595339999999999</c:v>
                </c:pt>
                <c:pt idx="77">
                  <c:v>1.2029947000000001</c:v>
                </c:pt>
                <c:pt idx="78">
                  <c:v>0.71473209999999998</c:v>
                </c:pt>
                <c:pt idx="79">
                  <c:v>0.76483959999999995</c:v>
                </c:pt>
                <c:pt idx="80">
                  <c:v>0.90532579999999996</c:v>
                </c:pt>
                <c:pt idx="81">
                  <c:v>0.926929</c:v>
                </c:pt>
                <c:pt idx="82">
                  <c:v>1.3558037000000001</c:v>
                </c:pt>
                <c:pt idx="83">
                  <c:v>0.50282459999999995</c:v>
                </c:pt>
                <c:pt idx="84">
                  <c:v>0.84893430000000003</c:v>
                </c:pt>
                <c:pt idx="85">
                  <c:v>1.0201302999999999</c:v>
                </c:pt>
                <c:pt idx="86">
                  <c:v>0.76738620000000002</c:v>
                </c:pt>
                <c:pt idx="87">
                  <c:v>1.0480763</c:v>
                </c:pt>
                <c:pt idx="88">
                  <c:v>1.0847640999999999</c:v>
                </c:pt>
                <c:pt idx="89">
                  <c:v>1.1708555</c:v>
                </c:pt>
                <c:pt idx="90">
                  <c:v>1.107246</c:v>
                </c:pt>
                <c:pt idx="91">
                  <c:v>1.7185979</c:v>
                </c:pt>
                <c:pt idx="92">
                  <c:v>1.1069751999999999</c:v>
                </c:pt>
                <c:pt idx="93">
                  <c:v>0.89422330000000005</c:v>
                </c:pt>
                <c:pt idx="94">
                  <c:v>1.2082648</c:v>
                </c:pt>
                <c:pt idx="95">
                  <c:v>0.43166949999999998</c:v>
                </c:pt>
                <c:pt idx="96">
                  <c:v>0.96141500000000002</c:v>
                </c:pt>
                <c:pt idx="97">
                  <c:v>0.80103590000000002</c:v>
                </c:pt>
                <c:pt idx="98">
                  <c:v>0.90329789999999999</c:v>
                </c:pt>
                <c:pt idx="99">
                  <c:v>0.65738890000000005</c:v>
                </c:pt>
                <c:pt idx="100">
                  <c:v>0.86914979999999997</c:v>
                </c:pt>
                <c:pt idx="101">
                  <c:v>1.1078174999999999</c:v>
                </c:pt>
                <c:pt idx="102">
                  <c:v>0.74208819999999998</c:v>
                </c:pt>
                <c:pt idx="103">
                  <c:v>0.76571350000000005</c:v>
                </c:pt>
                <c:pt idx="104">
                  <c:v>0.82924799999999999</c:v>
                </c:pt>
                <c:pt idx="105">
                  <c:v>0.85895750000000004</c:v>
                </c:pt>
                <c:pt idx="106">
                  <c:v>1.3070767999999999</c:v>
                </c:pt>
                <c:pt idx="107">
                  <c:v>0.63703960000000004</c:v>
                </c:pt>
                <c:pt idx="108">
                  <c:v>0.82878189999999996</c:v>
                </c:pt>
                <c:pt idx="109">
                  <c:v>0.97343729999999995</c:v>
                </c:pt>
                <c:pt idx="110">
                  <c:v>0.69242409999999999</c:v>
                </c:pt>
                <c:pt idx="111">
                  <c:v>0.9955463</c:v>
                </c:pt>
                <c:pt idx="112">
                  <c:v>0.89124479999999995</c:v>
                </c:pt>
                <c:pt idx="113">
                  <c:v>1.1423714</c:v>
                </c:pt>
                <c:pt idx="114">
                  <c:v>0.79635719999999999</c:v>
                </c:pt>
                <c:pt idx="115">
                  <c:v>0.82274809999999998</c:v>
                </c:pt>
                <c:pt idx="116">
                  <c:v>0.9839871</c:v>
                </c:pt>
                <c:pt idx="117">
                  <c:v>0.70030740000000002</c:v>
                </c:pt>
                <c:pt idx="118">
                  <c:v>1.5329537</c:v>
                </c:pt>
                <c:pt idx="119">
                  <c:v>0.49535430000000003</c:v>
                </c:pt>
                <c:pt idx="120">
                  <c:v>0.912582</c:v>
                </c:pt>
                <c:pt idx="121">
                  <c:v>0.97160519999999995</c:v>
                </c:pt>
                <c:pt idx="122">
                  <c:v>0.9826454</c:v>
                </c:pt>
                <c:pt idx="123">
                  <c:v>0.78014720000000004</c:v>
                </c:pt>
                <c:pt idx="124">
                  <c:v>0.95477069999999997</c:v>
                </c:pt>
                <c:pt idx="125">
                  <c:v>1.1117946000000001</c:v>
                </c:pt>
                <c:pt idx="126">
                  <c:v>0.89367509999999994</c:v>
                </c:pt>
                <c:pt idx="127">
                  <c:v>1.1523606</c:v>
                </c:pt>
                <c:pt idx="128">
                  <c:v>0.90874770000000005</c:v>
                </c:pt>
                <c:pt idx="129">
                  <c:v>0.93674619999999997</c:v>
                </c:pt>
                <c:pt idx="130">
                  <c:v>1.5275261</c:v>
                </c:pt>
                <c:pt idx="131">
                  <c:v>0.51646259999999999</c:v>
                </c:pt>
                <c:pt idx="132">
                  <c:v>0.79135650000000002</c:v>
                </c:pt>
                <c:pt idx="133">
                  <c:v>0.86675690000000005</c:v>
                </c:pt>
                <c:pt idx="134">
                  <c:v>1.0572655</c:v>
                </c:pt>
                <c:pt idx="135">
                  <c:v>0.81036949999999996</c:v>
                </c:pt>
                <c:pt idx="136">
                  <c:v>0.8643575</c:v>
                </c:pt>
                <c:pt idx="137">
                  <c:v>1.0934978</c:v>
                </c:pt>
                <c:pt idx="138">
                  <c:v>0.83738999999999997</c:v>
                </c:pt>
                <c:pt idx="139">
                  <c:v>0.86395270000000002</c:v>
                </c:pt>
                <c:pt idx="140">
                  <c:v>0.80189560000000004</c:v>
                </c:pt>
                <c:pt idx="141">
                  <c:v>0.86008470000000004</c:v>
                </c:pt>
                <c:pt idx="142">
                  <c:v>1.5246206</c:v>
                </c:pt>
                <c:pt idx="143">
                  <c:v>0.79151280000000002</c:v>
                </c:pt>
                <c:pt idx="144">
                  <c:v>0.99538479999999996</c:v>
                </c:pt>
                <c:pt idx="145">
                  <c:v>1.0879566000000001</c:v>
                </c:pt>
                <c:pt idx="146">
                  <c:v>0.62947679999999995</c:v>
                </c:pt>
                <c:pt idx="147">
                  <c:v>0.9786918</c:v>
                </c:pt>
                <c:pt idx="148">
                  <c:v>0.93605559999999999</c:v>
                </c:pt>
                <c:pt idx="149">
                  <c:v>1.1669643000000001</c:v>
                </c:pt>
                <c:pt idx="150">
                  <c:v>0.89122619999999997</c:v>
                </c:pt>
                <c:pt idx="151">
                  <c:v>0.86880789999999997</c:v>
                </c:pt>
                <c:pt idx="152">
                  <c:v>0.88956550000000001</c:v>
                </c:pt>
                <c:pt idx="153">
                  <c:v>1.0982025</c:v>
                </c:pt>
                <c:pt idx="154">
                  <c:v>1.4995546</c:v>
                </c:pt>
                <c:pt idx="155">
                  <c:v>0.51416600000000001</c:v>
                </c:pt>
                <c:pt idx="156">
                  <c:v>0.96472089999999999</c:v>
                </c:pt>
                <c:pt idx="157">
                  <c:v>0.84565199999999996</c:v>
                </c:pt>
                <c:pt idx="158">
                  <c:v>1.0111873</c:v>
                </c:pt>
                <c:pt idx="159">
                  <c:v>0.86535280000000003</c:v>
                </c:pt>
                <c:pt idx="160">
                  <c:v>0.90903460000000003</c:v>
                </c:pt>
                <c:pt idx="161">
                  <c:v>1.1318699999999999</c:v>
                </c:pt>
                <c:pt idx="162">
                  <c:v>0.68817070000000002</c:v>
                </c:pt>
                <c:pt idx="163">
                  <c:v>0.87944670000000003</c:v>
                </c:pt>
                <c:pt idx="164">
                  <c:v>0.88707429999999998</c:v>
                </c:pt>
                <c:pt idx="165">
                  <c:v>0.96048489999999997</c:v>
                </c:pt>
                <c:pt idx="166">
                  <c:v>1.5526754</c:v>
                </c:pt>
                <c:pt idx="167">
                  <c:v>0.50102029999999997</c:v>
                </c:pt>
                <c:pt idx="168">
                  <c:v>0.7170223</c:v>
                </c:pt>
                <c:pt idx="169">
                  <c:v>0.96619469999999996</c:v>
                </c:pt>
                <c:pt idx="170">
                  <c:v>1.0609843999999999</c:v>
                </c:pt>
                <c:pt idx="171">
                  <c:v>1.0408141</c:v>
                </c:pt>
                <c:pt idx="172">
                  <c:v>0.92291429999999997</c:v>
                </c:pt>
                <c:pt idx="173">
                  <c:v>1.3249188999999999</c:v>
                </c:pt>
                <c:pt idx="174">
                  <c:v>0.60194859999999994</c:v>
                </c:pt>
                <c:pt idx="175">
                  <c:v>0.80174080000000003</c:v>
                </c:pt>
                <c:pt idx="176">
                  <c:v>0.89767140000000001</c:v>
                </c:pt>
                <c:pt idx="177">
                  <c:v>0.86541239999999997</c:v>
                </c:pt>
                <c:pt idx="178">
                  <c:v>1.5415076000000001</c:v>
                </c:pt>
                <c:pt idx="179">
                  <c:v>0.31880320000000001</c:v>
                </c:pt>
                <c:pt idx="180">
                  <c:v>0.96300169999999996</c:v>
                </c:pt>
                <c:pt idx="181">
                  <c:v>0.92197499999999999</c:v>
                </c:pt>
                <c:pt idx="182">
                  <c:v>0.6582789</c:v>
                </c:pt>
                <c:pt idx="183">
                  <c:v>0.96352510000000002</c:v>
                </c:pt>
                <c:pt idx="184">
                  <c:v>0.75374859999999999</c:v>
                </c:pt>
                <c:pt idx="185">
                  <c:v>1.0376563999999999</c:v>
                </c:pt>
                <c:pt idx="186">
                  <c:v>0.79283959999999998</c:v>
                </c:pt>
                <c:pt idx="187">
                  <c:v>0.86803920000000001</c:v>
                </c:pt>
                <c:pt idx="188">
                  <c:v>0.96346690000000001</c:v>
                </c:pt>
                <c:pt idx="189">
                  <c:v>1.071761</c:v>
                </c:pt>
                <c:pt idx="190">
                  <c:v>1.4402488</c:v>
                </c:pt>
                <c:pt idx="191">
                  <c:v>0.51503829999999995</c:v>
                </c:pt>
                <c:pt idx="192">
                  <c:v>0.84313139999999998</c:v>
                </c:pt>
                <c:pt idx="193">
                  <c:v>0.87565669999999995</c:v>
                </c:pt>
                <c:pt idx="194">
                  <c:v>0.93733829999999996</c:v>
                </c:pt>
                <c:pt idx="195">
                  <c:v>0.77624210000000005</c:v>
                </c:pt>
                <c:pt idx="196">
                  <c:v>0.86029219999999995</c:v>
                </c:pt>
                <c:pt idx="197">
                  <c:v>1.0027936</c:v>
                </c:pt>
                <c:pt idx="198">
                  <c:v>0.8587108</c:v>
                </c:pt>
                <c:pt idx="199">
                  <c:v>0.75229100000000004</c:v>
                </c:pt>
                <c:pt idx="200">
                  <c:v>0.85844410000000004</c:v>
                </c:pt>
                <c:pt idx="201">
                  <c:v>0.88748119999999997</c:v>
                </c:pt>
                <c:pt idx="202">
                  <c:v>1.4362372999999999</c:v>
                </c:pt>
                <c:pt idx="203">
                  <c:v>0.41099999999999998</c:v>
                </c:pt>
                <c:pt idx="204">
                  <c:v>0.84084890000000001</c:v>
                </c:pt>
                <c:pt idx="205">
                  <c:v>0.9674258</c:v>
                </c:pt>
                <c:pt idx="206">
                  <c:v>0.68267420000000001</c:v>
                </c:pt>
                <c:pt idx="207">
                  <c:v>1.0057117</c:v>
                </c:pt>
                <c:pt idx="208">
                  <c:v>0.97813919999999999</c:v>
                </c:pt>
                <c:pt idx="209">
                  <c:v>1.2238416999999999</c:v>
                </c:pt>
                <c:pt idx="210">
                  <c:v>0.8846214</c:v>
                </c:pt>
                <c:pt idx="211">
                  <c:v>0.79206449999999995</c:v>
                </c:pt>
                <c:pt idx="212">
                  <c:v>0.86335110000000004</c:v>
                </c:pt>
                <c:pt idx="213">
                  <c:v>0.87564969999999998</c:v>
                </c:pt>
                <c:pt idx="214">
                  <c:v>1.4589265</c:v>
                </c:pt>
                <c:pt idx="215">
                  <c:v>0.4715396</c:v>
                </c:pt>
                <c:pt idx="216">
                  <c:v>0.79450030000000005</c:v>
                </c:pt>
                <c:pt idx="217">
                  <c:v>0.92958529999999995</c:v>
                </c:pt>
                <c:pt idx="218">
                  <c:v>0.91764009999999996</c:v>
                </c:pt>
                <c:pt idx="219">
                  <c:v>0.88281569999999998</c:v>
                </c:pt>
                <c:pt idx="220">
                  <c:v>0.85732900000000001</c:v>
                </c:pt>
                <c:pt idx="221">
                  <c:v>1.0969024000000001</c:v>
                </c:pt>
                <c:pt idx="222">
                  <c:v>0.83979999999999999</c:v>
                </c:pt>
                <c:pt idx="223">
                  <c:v>0.65490119999999996</c:v>
                </c:pt>
                <c:pt idx="224">
                  <c:v>1.2097971999999999</c:v>
                </c:pt>
                <c:pt idx="225">
                  <c:v>0.87029469999999998</c:v>
                </c:pt>
                <c:pt idx="226">
                  <c:v>1.4846581999999999</c:v>
                </c:pt>
                <c:pt idx="227">
                  <c:v>0.49820140000000002</c:v>
                </c:pt>
                <c:pt idx="228">
                  <c:v>0.90815020000000002</c:v>
                </c:pt>
                <c:pt idx="229">
                  <c:v>0.87216729999999998</c:v>
                </c:pt>
                <c:pt idx="230">
                  <c:v>1.2662674</c:v>
                </c:pt>
                <c:pt idx="231">
                  <c:v>1.1022362000000001</c:v>
                </c:pt>
                <c:pt idx="232">
                  <c:v>0.88432860000000002</c:v>
                </c:pt>
                <c:pt idx="233">
                  <c:v>0.80637460000000005</c:v>
                </c:pt>
                <c:pt idx="234">
                  <c:v>0.86016669999999995</c:v>
                </c:pt>
                <c:pt idx="235">
                  <c:v>0.86195319999999997</c:v>
                </c:pt>
                <c:pt idx="236">
                  <c:v>0.86103430000000003</c:v>
                </c:pt>
                <c:pt idx="237">
                  <c:v>0.91286869999999998</c:v>
                </c:pt>
                <c:pt idx="238">
                  <c:v>1.3584147</c:v>
                </c:pt>
                <c:pt idx="239">
                  <c:v>0.49129859999999997</c:v>
                </c:pt>
                <c:pt idx="240">
                  <c:v>0.95132039999999995</c:v>
                </c:pt>
                <c:pt idx="241">
                  <c:v>0.85920370000000001</c:v>
                </c:pt>
                <c:pt idx="242">
                  <c:v>0.96893339999999994</c:v>
                </c:pt>
                <c:pt idx="243">
                  <c:v>0.99824360000000001</c:v>
                </c:pt>
                <c:pt idx="244">
                  <c:v>0.9537487</c:v>
                </c:pt>
                <c:pt idx="245">
                  <c:v>1.094959</c:v>
                </c:pt>
                <c:pt idx="246">
                  <c:v>1.066263</c:v>
                </c:pt>
                <c:pt idx="247">
                  <c:v>0.9224736</c:v>
                </c:pt>
                <c:pt idx="248">
                  <c:v>1.1955007</c:v>
                </c:pt>
                <c:pt idx="249">
                  <c:v>0.91842990000000002</c:v>
                </c:pt>
                <c:pt idx="250">
                  <c:v>1.6798564</c:v>
                </c:pt>
                <c:pt idx="251">
                  <c:v>0.174234</c:v>
                </c:pt>
                <c:pt idx="252">
                  <c:v>0.76704830000000002</c:v>
                </c:pt>
                <c:pt idx="253">
                  <c:v>1.2798445000000001</c:v>
                </c:pt>
                <c:pt idx="254">
                  <c:v>1.2588718000000001</c:v>
                </c:pt>
                <c:pt idx="255">
                  <c:v>1.4204827</c:v>
                </c:pt>
                <c:pt idx="256">
                  <c:v>1.7083609</c:v>
                </c:pt>
                <c:pt idx="257">
                  <c:v>1.6177002</c:v>
                </c:pt>
                <c:pt idx="258">
                  <c:v>0.75922970000000001</c:v>
                </c:pt>
                <c:pt idx="259">
                  <c:v>1.0018289</c:v>
                </c:pt>
                <c:pt idx="260">
                  <c:v>1.3677272</c:v>
                </c:pt>
                <c:pt idx="261">
                  <c:v>0.94914140000000002</c:v>
                </c:pt>
                <c:pt idx="262">
                  <c:v>1.4303022999999999</c:v>
                </c:pt>
                <c:pt idx="263">
                  <c:v>0.49554409999999999</c:v>
                </c:pt>
                <c:pt idx="264">
                  <c:v>0.89956210000000003</c:v>
                </c:pt>
                <c:pt idx="265">
                  <c:v>0.79408509999999999</c:v>
                </c:pt>
                <c:pt idx="266">
                  <c:v>1.0480602999999999</c:v>
                </c:pt>
                <c:pt idx="267">
                  <c:v>0.85503439999999997</c:v>
                </c:pt>
                <c:pt idx="268">
                  <c:v>0.9295911</c:v>
                </c:pt>
                <c:pt idx="269">
                  <c:v>1.1298668000000001</c:v>
                </c:pt>
                <c:pt idx="270">
                  <c:v>0.96127689999999999</c:v>
                </c:pt>
                <c:pt idx="271">
                  <c:v>1.0369086000000001</c:v>
                </c:pt>
                <c:pt idx="272">
                  <c:v>1.0151774</c:v>
                </c:pt>
                <c:pt idx="273">
                  <c:v>0.77437750000000005</c:v>
                </c:pt>
                <c:pt idx="274">
                  <c:v>1.4667574000000001</c:v>
                </c:pt>
                <c:pt idx="275">
                  <c:v>0.75480849999999999</c:v>
                </c:pt>
                <c:pt idx="276">
                  <c:v>1.0376571999999999</c:v>
                </c:pt>
                <c:pt idx="277">
                  <c:v>1.1706348</c:v>
                </c:pt>
                <c:pt idx="278">
                  <c:v>0.9327841</c:v>
                </c:pt>
                <c:pt idx="279">
                  <c:v>0.92523040000000001</c:v>
                </c:pt>
                <c:pt idx="280">
                  <c:v>0.97982179999999997</c:v>
                </c:pt>
                <c:pt idx="281">
                  <c:v>1.0994558999999999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A6-488E-9E16-D554158E69FA}"/>
            </c:ext>
          </c:extLst>
        </c:ser>
        <c:ser>
          <c:idx val="1"/>
          <c:order val="1"/>
          <c:tx>
            <c:strRef>
              <c:f>'Holt-Winters.1'!$G$7</c:f>
              <c:strCache>
                <c:ptCount val="1"/>
                <c:pt idx="0">
                  <c:v>Pronóstico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'Holt-Winters.1'!$G$8:$G$289</c:f>
              <c:numCache>
                <c:formatCode>General</c:formatCode>
                <c:ptCount val="282"/>
                <c:pt idx="12" formatCode="0.000">
                  <c:v>0.86292859166666647</c:v>
                </c:pt>
                <c:pt idx="13" formatCode="0.000">
                  <c:v>1.0393107873295626</c:v>
                </c:pt>
                <c:pt idx="14" formatCode="0.000">
                  <c:v>0.77200000000000002</c:v>
                </c:pt>
                <c:pt idx="15" formatCode="0.000">
                  <c:v>0.59854539497267478</c:v>
                </c:pt>
                <c:pt idx="16" formatCode="0.000">
                  <c:v>1.0793066985868007</c:v>
                </c:pt>
                <c:pt idx="17" formatCode="0.000">
                  <c:v>1.2448313814394374</c:v>
                </c:pt>
                <c:pt idx="18" formatCode="0.000">
                  <c:v>0.97748425282495432</c:v>
                </c:pt>
                <c:pt idx="19" formatCode="0.000">
                  <c:v>0.83</c:v>
                </c:pt>
                <c:pt idx="20" formatCode="0.000">
                  <c:v>1.0590289967686475</c:v>
                </c:pt>
                <c:pt idx="21" formatCode="0.000">
                  <c:v>0.98878739768782264</c:v>
                </c:pt>
                <c:pt idx="22" formatCode="0.000">
                  <c:v>1.5259785957396454</c:v>
                </c:pt>
                <c:pt idx="23" formatCode="0.000">
                  <c:v>0.74999048251596767</c:v>
                </c:pt>
                <c:pt idx="24" formatCode="0.000">
                  <c:v>1.2297721385549223</c:v>
                </c:pt>
                <c:pt idx="25" formatCode="0.000">
                  <c:v>1.467982691171865</c:v>
                </c:pt>
                <c:pt idx="26" formatCode="0.000">
                  <c:v>1.7925428314731848</c:v>
                </c:pt>
                <c:pt idx="27" formatCode="0.000">
                  <c:v>1.2344823321384497</c:v>
                </c:pt>
                <c:pt idx="28" formatCode="0.000">
                  <c:v>0.93200000000000005</c:v>
                </c:pt>
                <c:pt idx="29" formatCode="0.000">
                  <c:v>1.5840209693416809</c:v>
                </c:pt>
                <c:pt idx="30" formatCode="0.000">
                  <c:v>0.72099999999999997</c:v>
                </c:pt>
                <c:pt idx="31" formatCode="0.000">
                  <c:v>1.1387178896378392</c:v>
                </c:pt>
                <c:pt idx="32" formatCode="0.000">
                  <c:v>1.1253439684108064</c:v>
                </c:pt>
                <c:pt idx="33" formatCode="0.000">
                  <c:v>0.95210972026246299</c:v>
                </c:pt>
                <c:pt idx="34" formatCode="0.000">
                  <c:v>1.4316833590882128</c:v>
                </c:pt>
                <c:pt idx="35" formatCode="0.000">
                  <c:v>0.61</c:v>
                </c:pt>
                <c:pt idx="36" formatCode="0.000">
                  <c:v>0.87715143247899408</c:v>
                </c:pt>
                <c:pt idx="37" formatCode="0.000">
                  <c:v>0.92228724259358053</c:v>
                </c:pt>
                <c:pt idx="38" formatCode="0.000">
                  <c:v>1.1544278180363696</c:v>
                </c:pt>
                <c:pt idx="39" formatCode="0.000">
                  <c:v>0.63502866920028789</c:v>
                </c:pt>
                <c:pt idx="40" formatCode="0.000">
                  <c:v>0.78565797197595655</c:v>
                </c:pt>
                <c:pt idx="41" formatCode="0.000">
                  <c:v>1.0362349494582552</c:v>
                </c:pt>
                <c:pt idx="42" formatCode="0.000">
                  <c:v>0.81587900612650044</c:v>
                </c:pt>
                <c:pt idx="43" formatCode="0.000">
                  <c:v>0.92589250267560297</c:v>
                </c:pt>
                <c:pt idx="44" formatCode="0.000">
                  <c:v>1.0191868849377748</c:v>
                </c:pt>
                <c:pt idx="45" formatCode="0.000">
                  <c:v>1.0402316817800403</c:v>
                </c:pt>
                <c:pt idx="46" formatCode="0.000">
                  <c:v>1.6261901760223851</c:v>
                </c:pt>
                <c:pt idx="47" formatCode="0.000">
                  <c:v>1.0245388705500327</c:v>
                </c:pt>
                <c:pt idx="48" formatCode="0.000">
                  <c:v>1.075402660918759</c:v>
                </c:pt>
                <c:pt idx="49" formatCode="0.000">
                  <c:v>1.0049891996714138</c:v>
                </c:pt>
                <c:pt idx="50" formatCode="0.000">
                  <c:v>1.1994049274721335</c:v>
                </c:pt>
                <c:pt idx="51" formatCode="0.000">
                  <c:v>0.70630601970794404</c:v>
                </c:pt>
                <c:pt idx="52" formatCode="0.000">
                  <c:v>0.87035154511907764</c:v>
                </c:pt>
                <c:pt idx="53" formatCode="0.000">
                  <c:v>1.0902744023117394</c:v>
                </c:pt>
                <c:pt idx="54" formatCode="0.000">
                  <c:v>0.80682931428543025</c:v>
                </c:pt>
                <c:pt idx="55" formatCode="0.000">
                  <c:v>0.93226921171278221</c:v>
                </c:pt>
                <c:pt idx="56" formatCode="0.000">
                  <c:v>1.0085761326987588</c:v>
                </c:pt>
                <c:pt idx="57" formatCode="0.000">
                  <c:v>0.99573593134026128</c:v>
                </c:pt>
                <c:pt idx="58" formatCode="0.000">
                  <c:v>1.3655516388819353</c:v>
                </c:pt>
                <c:pt idx="59" formatCode="0.000">
                  <c:v>0.86301288215919103</c:v>
                </c:pt>
                <c:pt idx="60" formatCode="0.000">
                  <c:v>0.90416426452511067</c:v>
                </c:pt>
                <c:pt idx="61" formatCode="0.000">
                  <c:v>0.9716619195241567</c:v>
                </c:pt>
                <c:pt idx="62" formatCode="0.000">
                  <c:v>1.0396753646017969</c:v>
                </c:pt>
                <c:pt idx="63" formatCode="0.000">
                  <c:v>0.80466128525786451</c:v>
                </c:pt>
                <c:pt idx="64" formatCode="0.000">
                  <c:v>0.84178524104287833</c:v>
                </c:pt>
                <c:pt idx="65" formatCode="0.000">
                  <c:v>1.0704077043748839</c:v>
                </c:pt>
                <c:pt idx="66" formatCode="0.000">
                  <c:v>0.80142460715773223</c:v>
                </c:pt>
                <c:pt idx="67" formatCode="0.000">
                  <c:v>0.83991841528487954</c:v>
                </c:pt>
                <c:pt idx="68" formatCode="0.000">
                  <c:v>0.935349115495409</c:v>
                </c:pt>
                <c:pt idx="69" formatCode="0.000">
                  <c:v>0.89855440390157892</c:v>
                </c:pt>
                <c:pt idx="70" formatCode="0.000">
                  <c:v>1.2348625163861713</c:v>
                </c:pt>
                <c:pt idx="71" formatCode="0.000">
                  <c:v>0.7566322290639681</c:v>
                </c:pt>
                <c:pt idx="72" formatCode="0.000">
                  <c:v>0.80888242247439168</c:v>
                </c:pt>
                <c:pt idx="73" formatCode="0.000">
                  <c:v>0.9260065407742929</c:v>
                </c:pt>
                <c:pt idx="74" formatCode="0.000">
                  <c:v>0.9871940355955463</c:v>
                </c:pt>
                <c:pt idx="75" formatCode="0.000">
                  <c:v>0.72681850824902128</c:v>
                </c:pt>
                <c:pt idx="76" formatCode="0.000">
                  <c:v>0.78876903846295399</c:v>
                </c:pt>
                <c:pt idx="77" formatCode="0.000">
                  <c:v>1.0355202121674187</c:v>
                </c:pt>
                <c:pt idx="78" formatCode="0.000">
                  <c:v>0.70478936738736009</c:v>
                </c:pt>
                <c:pt idx="79" formatCode="0.000">
                  <c:v>0.9012025811545552</c:v>
                </c:pt>
                <c:pt idx="80" formatCode="0.000">
                  <c:v>0.87335357027940486</c:v>
                </c:pt>
                <c:pt idx="81" formatCode="0.000">
                  <c:v>0.93340272991283546</c:v>
                </c:pt>
                <c:pt idx="82" formatCode="0.000">
                  <c:v>1.2346310449573783</c:v>
                </c:pt>
                <c:pt idx="83" formatCode="0.000">
                  <c:v>0.74675976274681566</c:v>
                </c:pt>
                <c:pt idx="84" formatCode="0.000">
                  <c:v>0.85119192105906638</c:v>
                </c:pt>
                <c:pt idx="85" formatCode="0.000">
                  <c:v>0.91173429836878706</c:v>
                </c:pt>
                <c:pt idx="86" formatCode="0.000">
                  <c:v>1.058477597258261</c:v>
                </c:pt>
                <c:pt idx="87" formatCode="0.000">
                  <c:v>0.7057482182983712</c:v>
                </c:pt>
                <c:pt idx="88" formatCode="0.000">
                  <c:v>0.89506941286639852</c:v>
                </c:pt>
                <c:pt idx="89" formatCode="0.000">
                  <c:v>1.1967452209134408</c:v>
                </c:pt>
                <c:pt idx="90" formatCode="0.000">
                  <c:v>0.77225748639773806</c:v>
                </c:pt>
                <c:pt idx="91" formatCode="0.000">
                  <c:v>1.070167143209114</c:v>
                </c:pt>
                <c:pt idx="92" formatCode="0.000">
                  <c:v>1.3741524902973938</c:v>
                </c:pt>
                <c:pt idx="93" formatCode="0.000">
                  <c:v>1.3347562607149697</c:v>
                </c:pt>
                <c:pt idx="94" formatCode="0.000">
                  <c:v>1.5069786192072308</c:v>
                </c:pt>
                <c:pt idx="95" formatCode="0.000">
                  <c:v>0.80918522468411824</c:v>
                </c:pt>
                <c:pt idx="96" formatCode="0.000">
                  <c:v>0.90260166922866736</c:v>
                </c:pt>
                <c:pt idx="97" formatCode="0.000">
                  <c:v>1.0027319419778198</c:v>
                </c:pt>
                <c:pt idx="98" formatCode="0.000">
                  <c:v>0.96745001772911932</c:v>
                </c:pt>
                <c:pt idx="99" formatCode="0.000">
                  <c:v>0.79690682858923523</c:v>
                </c:pt>
                <c:pt idx="100" formatCode="0.000">
                  <c:v>0.77723256585192202</c:v>
                </c:pt>
                <c:pt idx="101" formatCode="0.000">
                  <c:v>0.99746772688493213</c:v>
                </c:pt>
                <c:pt idx="102" formatCode="0.000">
                  <c:v>0.67113870132682396</c:v>
                </c:pt>
                <c:pt idx="103" formatCode="0.000">
                  <c:v>0.91001058664515289</c:v>
                </c:pt>
                <c:pt idx="104" formatCode="0.000">
                  <c:v>0.75284023088589314</c:v>
                </c:pt>
                <c:pt idx="105" formatCode="0.000">
                  <c:v>0.78917894136965527</c:v>
                </c:pt>
                <c:pt idx="106" formatCode="0.000">
                  <c:v>1.156694038093121</c:v>
                </c:pt>
                <c:pt idx="107" formatCode="0.000">
                  <c:v>0.60413355959491211</c:v>
                </c:pt>
                <c:pt idx="108" formatCode="0.000">
                  <c:v>0.91824311071341824</c:v>
                </c:pt>
                <c:pt idx="109" formatCode="0.000">
                  <c:v>0.92221113418843237</c:v>
                </c:pt>
                <c:pt idx="110" formatCode="0.000">
                  <c:v>1.0043391022283887</c:v>
                </c:pt>
                <c:pt idx="111" formatCode="0.000">
                  <c:v>0.73133085236929252</c:v>
                </c:pt>
                <c:pt idx="112" formatCode="0.000">
                  <c:v>0.90143008620553333</c:v>
                </c:pt>
                <c:pt idx="113" formatCode="0.000">
                  <c:v>1.0921205307029407</c:v>
                </c:pt>
                <c:pt idx="114" formatCode="0.000">
                  <c:v>0.74119870942569355</c:v>
                </c:pt>
                <c:pt idx="115" formatCode="0.000">
                  <c:v>0.94308156736485405</c:v>
                </c:pt>
                <c:pt idx="116" formatCode="0.000">
                  <c:v>0.83365509765280321</c:v>
                </c:pt>
                <c:pt idx="117" formatCode="0.000">
                  <c:v>0.90063699114887852</c:v>
                </c:pt>
                <c:pt idx="118" formatCode="0.000">
                  <c:v>1.1834926712759124</c:v>
                </c:pt>
                <c:pt idx="119" formatCode="0.000">
                  <c:v>0.68799789115229704</c:v>
                </c:pt>
                <c:pt idx="120" formatCode="0.000">
                  <c:v>0.90061371576885252</c:v>
                </c:pt>
                <c:pt idx="121" formatCode="0.000">
                  <c:v>0.96555686050237599</c:v>
                </c:pt>
                <c:pt idx="122" formatCode="0.000">
                  <c:v>0.97393453661660445</c:v>
                </c:pt>
                <c:pt idx="123" formatCode="0.000">
                  <c:v>0.91584201063269854</c:v>
                </c:pt>
                <c:pt idx="124" formatCode="0.000">
                  <c:v>0.89644559522222134</c:v>
                </c:pt>
                <c:pt idx="125" formatCode="0.000">
                  <c:v>1.1223654756590244</c:v>
                </c:pt>
                <c:pt idx="126" formatCode="0.000">
                  <c:v>0.74984506713085808</c:v>
                </c:pt>
                <c:pt idx="127" formatCode="0.000">
                  <c:v>0.95689952233028575</c:v>
                </c:pt>
                <c:pt idx="128" formatCode="0.000">
                  <c:v>1.0118539905586141</c:v>
                </c:pt>
                <c:pt idx="129" formatCode="0.000">
                  <c:v>0.93288869686331588</c:v>
                </c:pt>
                <c:pt idx="130" formatCode="0.000">
                  <c:v>1.3835879383931644</c:v>
                </c:pt>
                <c:pt idx="131" formatCode="0.000">
                  <c:v>0.72879891070159575</c:v>
                </c:pt>
                <c:pt idx="132" formatCode="0.000">
                  <c:v>0.96893629322568564</c:v>
                </c:pt>
                <c:pt idx="133" formatCode="0.000">
                  <c:v>0.96286258993596618</c:v>
                </c:pt>
                <c:pt idx="134" formatCode="0.000">
                  <c:v>0.93158353946501271</c:v>
                </c:pt>
                <c:pt idx="135" formatCode="0.000">
                  <c:v>0.89167683281059773</c:v>
                </c:pt>
                <c:pt idx="136" formatCode="0.000">
                  <c:v>0.92295396116648265</c:v>
                </c:pt>
                <c:pt idx="137" formatCode="0.000">
                  <c:v>1.0932973072484762</c:v>
                </c:pt>
                <c:pt idx="138" formatCode="0.000">
                  <c:v>0.74750079521030943</c:v>
                </c:pt>
                <c:pt idx="139" formatCode="0.000">
                  <c:v>0.94042558410173827</c:v>
                </c:pt>
                <c:pt idx="140" formatCode="0.000">
                  <c:v>0.84147578156106528</c:v>
                </c:pt>
                <c:pt idx="141" formatCode="0.000">
                  <c:v>0.79636506358413151</c:v>
                </c:pt>
                <c:pt idx="142" formatCode="0.000">
                  <c:v>1.2859036959525438</c:v>
                </c:pt>
                <c:pt idx="143" formatCode="0.000">
                  <c:v>0.60460354834592023</c:v>
                </c:pt>
                <c:pt idx="144" formatCode="0.000">
                  <c:v>0.99804603125920865</c:v>
                </c:pt>
                <c:pt idx="145" formatCode="0.000">
                  <c:v>1.0743438503218341</c:v>
                </c:pt>
                <c:pt idx="146" formatCode="0.000">
                  <c:v>0.628</c:v>
                </c:pt>
                <c:pt idx="147" formatCode="0.000">
                  <c:v>0.82461263187706191</c:v>
                </c:pt>
                <c:pt idx="148" formatCode="0.000">
                  <c:v>0.9461236269957477</c:v>
                </c:pt>
                <c:pt idx="149" formatCode="0.000">
                  <c:v>1.1455340304769066</c:v>
                </c:pt>
                <c:pt idx="150" formatCode="0.000">
                  <c:v>0.82421404171377954</c:v>
                </c:pt>
                <c:pt idx="151" formatCode="0.000">
                  <c:v>0.98417309551276122</c:v>
                </c:pt>
                <c:pt idx="152" formatCode="0.000">
                  <c:v>0.87839415925399167</c:v>
                </c:pt>
                <c:pt idx="153" formatCode="0.000">
                  <c:v>0.87046474038910471</c:v>
                </c:pt>
                <c:pt idx="154" formatCode="0.000">
                  <c:v>1.4525077475098915</c:v>
                </c:pt>
                <c:pt idx="155" formatCode="0.000">
                  <c:v>0.69513334917224423</c:v>
                </c:pt>
                <c:pt idx="156" formatCode="0.000">
                  <c:v>0.92034305355514556</c:v>
                </c:pt>
                <c:pt idx="157" formatCode="0.000">
                  <c:v>1.0126825686139891</c:v>
                </c:pt>
                <c:pt idx="158" formatCode="0.000">
                  <c:v>0.91047118623432366</c:v>
                </c:pt>
                <c:pt idx="159" formatCode="0.000">
                  <c:v>0.93330890614514328</c:v>
                </c:pt>
                <c:pt idx="160" formatCode="0.000">
                  <c:v>0.94760445060471321</c:v>
                </c:pt>
                <c:pt idx="161" formatCode="0.000">
                  <c:v>1.1408855808922973</c:v>
                </c:pt>
                <c:pt idx="162" formatCode="0.000">
                  <c:v>0.81447995488570069</c:v>
                </c:pt>
                <c:pt idx="163" formatCode="0.000">
                  <c:v>0.87048823660550267</c:v>
                </c:pt>
                <c:pt idx="164" formatCode="0.000">
                  <c:v>0.82758019377696779</c:v>
                </c:pt>
                <c:pt idx="165" formatCode="0.000">
                  <c:v>0.87020638410626006</c:v>
                </c:pt>
                <c:pt idx="166" formatCode="0.000">
                  <c:v>1.3694176423842941</c:v>
                </c:pt>
                <c:pt idx="167" formatCode="0.000">
                  <c:v>0.62315401229750789</c:v>
                </c:pt>
                <c:pt idx="168" formatCode="0.000">
                  <c:v>0.90510359573904942</c:v>
                </c:pt>
                <c:pt idx="169" formatCode="0.000">
                  <c:v>0.87460543130080926</c:v>
                </c:pt>
                <c:pt idx="170" formatCode="0.000">
                  <c:v>0.90882740000172102</c:v>
                </c:pt>
                <c:pt idx="171" formatCode="0.000">
                  <c:v>0.92383469155401876</c:v>
                </c:pt>
                <c:pt idx="172" formatCode="0.000">
                  <c:v>1.0135738537830157</c:v>
                </c:pt>
                <c:pt idx="173" formatCode="0.000">
                  <c:v>1.1954924947513876</c:v>
                </c:pt>
                <c:pt idx="174" formatCode="0.000">
                  <c:v>0.90559203976403957</c:v>
                </c:pt>
                <c:pt idx="175" formatCode="0.000">
                  <c:v>0.92111808665824069</c:v>
                </c:pt>
                <c:pt idx="176" formatCode="0.000">
                  <c:v>0.8397597485969408</c:v>
                </c:pt>
                <c:pt idx="177" formatCode="0.000">
                  <c:v>0.88671052155953012</c:v>
                </c:pt>
                <c:pt idx="178" formatCode="0.000">
                  <c:v>1.358460850190661</c:v>
                </c:pt>
                <c:pt idx="179" formatCode="0.000">
                  <c:v>0.5612340018763089</c:v>
                </c:pt>
                <c:pt idx="180" formatCode="0.000">
                  <c:v>0.78505442965124306</c:v>
                </c:pt>
                <c:pt idx="181" formatCode="0.000">
                  <c:v>0.93435780414965497</c:v>
                </c:pt>
                <c:pt idx="182" formatCode="0.000">
                  <c:v>0.94104966113818145</c:v>
                </c:pt>
                <c:pt idx="183" formatCode="0.000">
                  <c:v>0.78586166688077086</c:v>
                </c:pt>
                <c:pt idx="184" formatCode="0.000">
                  <c:v>0.85850488150738802</c:v>
                </c:pt>
                <c:pt idx="185" formatCode="0.000">
                  <c:v>1.0645658205143815</c:v>
                </c:pt>
                <c:pt idx="186" formatCode="0.000">
                  <c:v>0.63985691644931619</c:v>
                </c:pt>
                <c:pt idx="187" formatCode="0.000">
                  <c:v>0.84952475116105997</c:v>
                </c:pt>
                <c:pt idx="188" formatCode="0.000">
                  <c:v>0.84790517859152259</c:v>
                </c:pt>
                <c:pt idx="189" formatCode="0.000">
                  <c:v>0.90532454632263026</c:v>
                </c:pt>
                <c:pt idx="190" formatCode="0.000">
                  <c:v>1.4833387714993003</c:v>
                </c:pt>
                <c:pt idx="191" formatCode="0.000">
                  <c:v>0.53748665565039544</c:v>
                </c:pt>
                <c:pt idx="192" formatCode="0.000">
                  <c:v>0.91380851420754938</c:v>
                </c:pt>
                <c:pt idx="193" formatCode="0.000">
                  <c:v>0.94356225792162252</c:v>
                </c:pt>
                <c:pt idx="194" formatCode="0.000">
                  <c:v>0.88696666387571932</c:v>
                </c:pt>
                <c:pt idx="195" formatCode="0.000">
                  <c:v>0.93222866358807088</c:v>
                </c:pt>
                <c:pt idx="196" formatCode="0.000">
                  <c:v>0.83877953279712558</c:v>
                </c:pt>
                <c:pt idx="197" formatCode="0.000">
                  <c:v>1.1054355220223262</c:v>
                </c:pt>
                <c:pt idx="198" formatCode="0.000">
                  <c:v>0.68315959522875391</c:v>
                </c:pt>
                <c:pt idx="199" formatCode="0.000">
                  <c:v>0.88087440893029778</c:v>
                </c:pt>
                <c:pt idx="200" formatCode="0.000">
                  <c:v>0.84043450432683497</c:v>
                </c:pt>
                <c:pt idx="201" formatCode="0.000">
                  <c:v>0.86796338704554665</c:v>
                </c:pt>
                <c:pt idx="202" formatCode="0.000">
                  <c:v>1.3539621355919906</c:v>
                </c:pt>
                <c:pt idx="203" formatCode="0.000">
                  <c:v>0.45385417622987256</c:v>
                </c:pt>
                <c:pt idx="204" formatCode="0.000">
                  <c:v>0.81166767115938143</c:v>
                </c:pt>
                <c:pt idx="205" formatCode="0.000">
                  <c:v>0.87638006856633821</c:v>
                </c:pt>
                <c:pt idx="206" formatCode="0.000">
                  <c:v>0.89736004664563762</c:v>
                </c:pt>
                <c:pt idx="207" formatCode="0.000">
                  <c:v>0.80992321744195617</c:v>
                </c:pt>
                <c:pt idx="208" formatCode="0.000">
                  <c:v>0.87492988905326174</c:v>
                </c:pt>
                <c:pt idx="209" formatCode="0.000">
                  <c:v>1.1550856691594424</c:v>
                </c:pt>
                <c:pt idx="210" formatCode="0.000">
                  <c:v>0.84623662914079945</c:v>
                </c:pt>
                <c:pt idx="211" formatCode="0.000">
                  <c:v>0.94978715488327448</c:v>
                </c:pt>
                <c:pt idx="212" formatCode="0.000">
                  <c:v>0.92615615838550025</c:v>
                </c:pt>
                <c:pt idx="213" formatCode="0.000">
                  <c:v>0.92713217259917058</c:v>
                </c:pt>
                <c:pt idx="214" formatCode="0.000">
                  <c:v>1.3987707823598514</c:v>
                </c:pt>
                <c:pt idx="215" formatCode="0.000">
                  <c:v>0.47152797405182734</c:v>
                </c:pt>
                <c:pt idx="216" formatCode="0.000">
                  <c:v>0.85811191490448602</c:v>
                </c:pt>
                <c:pt idx="217" formatCode="0.000">
                  <c:v>0.89921090265302639</c:v>
                </c:pt>
                <c:pt idx="218" formatCode="0.000">
                  <c:v>0.84825887609554818</c:v>
                </c:pt>
                <c:pt idx="219" formatCode="0.000">
                  <c:v>0.93353084160210364</c:v>
                </c:pt>
                <c:pt idx="220" formatCode="0.000">
                  <c:v>0.89402336110067304</c:v>
                </c:pt>
                <c:pt idx="221" formatCode="0.000">
                  <c:v>1.1153034708331837</c:v>
                </c:pt>
                <c:pt idx="222" formatCode="0.000">
                  <c:v>0.76590291600054461</c:v>
                </c:pt>
                <c:pt idx="223" formatCode="0.000">
                  <c:v>0.84740527581451219</c:v>
                </c:pt>
                <c:pt idx="224" formatCode="0.000">
                  <c:v>0.82232249779959066</c:v>
                </c:pt>
                <c:pt idx="225" formatCode="0.000">
                  <c:v>0.99189662307630511</c:v>
                </c:pt>
                <c:pt idx="226" formatCode="0.000">
                  <c:v>1.4583163687036222</c:v>
                </c:pt>
                <c:pt idx="227" formatCode="0.000">
                  <c:v>0.51090619293256045</c:v>
                </c:pt>
                <c:pt idx="228" formatCode="0.000">
                  <c:v>0.88420312604854456</c:v>
                </c:pt>
                <c:pt idx="229" formatCode="0.000">
                  <c:v>0.97512377927353899</c:v>
                </c:pt>
                <c:pt idx="230" formatCode="0.000">
                  <c:v>0.88283442723396799</c:v>
                </c:pt>
                <c:pt idx="231" formatCode="0.000">
                  <c:v>1.068763299445</c:v>
                </c:pt>
                <c:pt idx="232" formatCode="0.000">
                  <c:v>1.0694678990587734</c:v>
                </c:pt>
                <c:pt idx="233" formatCode="0.000">
                  <c:v>1.2447912884997345</c:v>
                </c:pt>
                <c:pt idx="234" formatCode="0.000">
                  <c:v>0.75577843384810528</c:v>
                </c:pt>
                <c:pt idx="235" formatCode="0.000">
                  <c:v>0.80403700067690465</c:v>
                </c:pt>
                <c:pt idx="236" formatCode="0.000">
                  <c:v>0.96539992649509487</c:v>
                </c:pt>
                <c:pt idx="237" formatCode="0.000">
                  <c:v>0.86933759645847208</c:v>
                </c:pt>
                <c:pt idx="238" formatCode="0.000">
                  <c:v>1.4165145302288593</c:v>
                </c:pt>
                <c:pt idx="239" formatCode="0.000">
                  <c:v>0.42794755438132337</c:v>
                </c:pt>
                <c:pt idx="240" formatCode="0.000">
                  <c:v>0.83170810852448196</c:v>
                </c:pt>
                <c:pt idx="241" formatCode="0.000">
                  <c:v>0.93557674916695222</c:v>
                </c:pt>
                <c:pt idx="242" formatCode="0.000">
                  <c:v>0.92998152567402148</c:v>
                </c:pt>
                <c:pt idx="243" formatCode="0.000">
                  <c:v>0.92813676118258548</c:v>
                </c:pt>
                <c:pt idx="244" formatCode="0.000">
                  <c:v>0.90096254315708946</c:v>
                </c:pt>
                <c:pt idx="245" formatCode="0.000">
                  <c:v>1.1198340785084051</c:v>
                </c:pt>
                <c:pt idx="246" formatCode="0.000">
                  <c:v>0.87265396867631329</c:v>
                </c:pt>
                <c:pt idx="247" formatCode="0.000">
                  <c:v>0.9521170712417405</c:v>
                </c:pt>
                <c:pt idx="248" formatCode="0.000">
                  <c:v>1.0605335107653722</c:v>
                </c:pt>
                <c:pt idx="249" formatCode="0.000">
                  <c:v>1.0838291595723932</c:v>
                </c:pt>
                <c:pt idx="250" formatCode="0.000">
                  <c:v>1.5442786291136956</c:v>
                </c:pt>
                <c:pt idx="251" formatCode="0.000">
                  <c:v>0.1741</c:v>
                </c:pt>
                <c:pt idx="252" formatCode="0.000">
                  <c:v>0.86931369688456939</c:v>
                </c:pt>
                <c:pt idx="253" formatCode="0.000">
                  <c:v>0.85705844128910813</c:v>
                </c:pt>
                <c:pt idx="254" formatCode="0.000">
                  <c:v>1.0551191897117687</c:v>
                </c:pt>
                <c:pt idx="255" formatCode="0.000">
                  <c:v>1.1249323317719881</c:v>
                </c:pt>
                <c:pt idx="256" formatCode="0.000">
                  <c:v>1.1874108446380525</c:v>
                </c:pt>
                <c:pt idx="257" formatCode="0.000">
                  <c:v>1.582125499449156</c:v>
                </c:pt>
                <c:pt idx="258" formatCode="0.000">
                  <c:v>0.76</c:v>
                </c:pt>
                <c:pt idx="259" formatCode="0.000">
                  <c:v>1.1537028357791355</c:v>
                </c:pt>
                <c:pt idx="260" formatCode="0.000">
                  <c:v>1.2474996236484186</c:v>
                </c:pt>
                <c:pt idx="261" formatCode="0.000">
                  <c:v>1.2203430166378675</c:v>
                </c:pt>
                <c:pt idx="262" formatCode="0.000">
                  <c:v>1.6919809885121062</c:v>
                </c:pt>
                <c:pt idx="263" formatCode="0.000">
                  <c:v>0.55359897376794875</c:v>
                </c:pt>
                <c:pt idx="264" formatCode="0.000">
                  <c:v>0.98408614774289271</c:v>
                </c:pt>
                <c:pt idx="265" formatCode="0.000">
                  <c:v>1.0644663298723247</c:v>
                </c:pt>
                <c:pt idx="266" formatCode="0.000">
                  <c:v>0.96640185329149819</c:v>
                </c:pt>
                <c:pt idx="267" formatCode="0.000">
                  <c:v>0.99500102309500582</c:v>
                </c:pt>
                <c:pt idx="268" formatCode="0.000">
                  <c:v>0.91672970933665965</c:v>
                </c:pt>
                <c:pt idx="269" formatCode="0.000">
                  <c:v>1.0218777601733677</c:v>
                </c:pt>
                <c:pt idx="270" formatCode="0.000">
                  <c:v>0.74089784610502196</c:v>
                </c:pt>
                <c:pt idx="271" formatCode="0.000">
                  <c:v>0.86822843675527661</c:v>
                </c:pt>
                <c:pt idx="272" formatCode="0.000">
                  <c:v>1.1156516926219131</c:v>
                </c:pt>
                <c:pt idx="273" formatCode="0.000">
                  <c:v>0.93571970233146073</c:v>
                </c:pt>
                <c:pt idx="274" formatCode="0.000">
                  <c:v>1.4406062079144746</c:v>
                </c:pt>
                <c:pt idx="275" formatCode="0.000">
                  <c:v>0.43596526010526515</c:v>
                </c:pt>
                <c:pt idx="276" formatCode="0.000">
                  <c:v>1.0019077649416908</c:v>
                </c:pt>
                <c:pt idx="277" formatCode="0.000">
                  <c:v>1.1011278978700132</c:v>
                </c:pt>
                <c:pt idx="278" formatCode="0.000">
                  <c:v>1.1935055840122561</c:v>
                </c:pt>
                <c:pt idx="279" formatCode="0.000">
                  <c:v>1.06737891884337</c:v>
                </c:pt>
                <c:pt idx="280" formatCode="0.000">
                  <c:v>1.0177743491693134</c:v>
                </c:pt>
                <c:pt idx="281" formatCode="0.000">
                  <c:v>1.1238474918435091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A6-488E-9E16-D554158E6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6064687"/>
        <c:axId val="1946049327"/>
      </c:lineChart>
      <c:catAx>
        <c:axId val="1946064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46049327"/>
        <c:crosses val="autoZero"/>
        <c:auto val="1"/>
        <c:lblAlgn val="ctr"/>
        <c:lblOffset val="40"/>
        <c:noMultiLvlLbl val="0"/>
      </c:catAx>
      <c:valAx>
        <c:axId val="19460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46064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171448</xdr:colOff>
      <xdr:row>4</xdr:row>
      <xdr:rowOff>19050</xdr:rowOff>
    </xdr:from>
    <xdr:to>
      <xdr:col>26</xdr:col>
      <xdr:colOff>552450</xdr:colOff>
      <xdr:row>23</xdr:row>
      <xdr:rowOff>171451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A192B9-5754-4D40-926B-FA7A9E739D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276223</xdr:colOff>
      <xdr:row>7</xdr:row>
      <xdr:rowOff>47625</xdr:rowOff>
    </xdr:from>
    <xdr:to>
      <xdr:col>25</xdr:col>
      <xdr:colOff>209550</xdr:colOff>
      <xdr:row>26</xdr:row>
      <xdr:rowOff>66676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7EC15A9-3CF7-5B2B-2A27-079D29310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171448</xdr:colOff>
      <xdr:row>4</xdr:row>
      <xdr:rowOff>85725</xdr:rowOff>
    </xdr:from>
    <xdr:to>
      <xdr:col>25</xdr:col>
      <xdr:colOff>161925</xdr:colOff>
      <xdr:row>24</xdr:row>
      <xdr:rowOff>171451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2D57BE-3C67-4323-A5BB-017E6AB2B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1DFC-B9DC-4F3A-99E3-DCB0C94E39F1}">
  <dimension ref="B2:K299"/>
  <sheetViews>
    <sheetView showGridLines="0" topLeftCell="H9" workbookViewId="0">
      <selection activeCell="O3" sqref="O3"/>
    </sheetView>
  </sheetViews>
  <sheetFormatPr defaultColWidth="9.140625" defaultRowHeight="15" x14ac:dyDescent="0.25"/>
  <cols>
    <col min="3" max="3" width="15.28515625" customWidth="1"/>
    <col min="4" max="4" width="0.7109375" style="1" hidden="1" customWidth="1"/>
    <col min="5" max="5" width="11.85546875" style="1" bestFit="1" customWidth="1"/>
    <col min="6" max="7" width="9.42578125" style="1" bestFit="1" customWidth="1"/>
    <col min="8" max="8" width="11.7109375" style="1" customWidth="1"/>
    <col min="9" max="9" width="12.28515625" style="1" customWidth="1"/>
    <col min="10" max="10" width="9.42578125" style="1" customWidth="1"/>
    <col min="11" max="11" width="9.140625" style="1"/>
  </cols>
  <sheetData>
    <row r="2" spans="2:11" x14ac:dyDescent="0.25">
      <c r="E2" s="27" t="s">
        <v>1</v>
      </c>
      <c r="F2" s="27" t="s">
        <v>2</v>
      </c>
      <c r="G2" s="27" t="s">
        <v>3</v>
      </c>
      <c r="H2" s="27" t="s">
        <v>4</v>
      </c>
    </row>
    <row r="3" spans="2:11" x14ac:dyDescent="0.25">
      <c r="E3" s="3">
        <v>12</v>
      </c>
      <c r="F3" s="3">
        <v>0.36270000000000002</v>
      </c>
      <c r="G3" s="3">
        <v>4.6199999999999998E-2</v>
      </c>
      <c r="H3" s="3">
        <v>0.25159999999999999</v>
      </c>
    </row>
    <row r="5" spans="2:11" x14ac:dyDescent="0.25">
      <c r="C5" s="25" t="s">
        <v>0</v>
      </c>
    </row>
    <row r="6" spans="2:11" ht="19.5" customHeight="1" x14ac:dyDescent="0.25">
      <c r="B6" s="25" t="s">
        <v>6</v>
      </c>
      <c r="C6" s="25" t="s">
        <v>5</v>
      </c>
      <c r="D6" s="26"/>
      <c r="E6" s="25" t="s">
        <v>7</v>
      </c>
      <c r="F6" s="25" t="s">
        <v>8</v>
      </c>
      <c r="G6" s="25" t="s">
        <v>9</v>
      </c>
      <c r="H6" s="25" t="s">
        <v>10</v>
      </c>
      <c r="I6" s="25" t="s">
        <v>30</v>
      </c>
      <c r="J6" s="25" t="s">
        <v>31</v>
      </c>
      <c r="K6" s="25" t="s">
        <v>16</v>
      </c>
    </row>
    <row r="7" spans="2:11" x14ac:dyDescent="0.25">
      <c r="B7" s="3">
        <v>1</v>
      </c>
      <c r="C7" s="3">
        <v>0.7784529</v>
      </c>
      <c r="D7" s="3">
        <v>-0.23602370278299201</v>
      </c>
      <c r="E7" s="19"/>
      <c r="F7" s="19"/>
      <c r="G7" s="20">
        <f>C7-$E$18</f>
        <v>-8.7307508333333339E-2</v>
      </c>
      <c r="H7" s="19"/>
      <c r="I7" s="19"/>
      <c r="J7" s="19"/>
      <c r="K7" s="19"/>
    </row>
    <row r="8" spans="2:11" x14ac:dyDescent="0.25">
      <c r="B8" s="4">
        <v>2</v>
      </c>
      <c r="C8" s="3">
        <v>0.86787800000000004</v>
      </c>
      <c r="D8" s="3">
        <v>-3.2272591284078903E-2</v>
      </c>
      <c r="E8" s="19"/>
      <c r="F8" s="19"/>
      <c r="G8" s="20">
        <f t="shared" ref="G8:G17" si="0">C8-$E$18</f>
        <v>2.1175916666666961E-3</v>
      </c>
      <c r="H8" s="19"/>
      <c r="I8" s="19"/>
      <c r="J8" s="19"/>
      <c r="K8" s="19"/>
    </row>
    <row r="9" spans="2:11" x14ac:dyDescent="0.25">
      <c r="B9" s="3">
        <v>3</v>
      </c>
      <c r="C9" s="3">
        <v>1.2115399</v>
      </c>
      <c r="D9" s="3">
        <v>0.94452884944668403</v>
      </c>
      <c r="E9" s="19"/>
      <c r="F9" s="19"/>
      <c r="G9" s="20">
        <f t="shared" si="0"/>
        <v>0.34577949166666666</v>
      </c>
      <c r="H9" s="19"/>
      <c r="I9" s="19"/>
      <c r="J9" s="19"/>
      <c r="K9" s="19"/>
    </row>
    <row r="10" spans="2:11" x14ac:dyDescent="0.25">
      <c r="B10" s="4">
        <v>4</v>
      </c>
      <c r="C10" s="3">
        <v>0.54967619999999995</v>
      </c>
      <c r="D10" s="3">
        <v>-0.68143185166807396</v>
      </c>
      <c r="E10" s="19"/>
      <c r="F10" s="19"/>
      <c r="G10" s="20">
        <f t="shared" si="0"/>
        <v>-0.31608420833333339</v>
      </c>
      <c r="H10" s="19"/>
      <c r="I10" s="19"/>
      <c r="J10" s="19"/>
      <c r="K10" s="19"/>
    </row>
    <row r="11" spans="2:11" x14ac:dyDescent="0.25">
      <c r="B11" s="3">
        <v>5</v>
      </c>
      <c r="C11" s="3">
        <v>0.85256200000000004</v>
      </c>
      <c r="D11" s="3">
        <v>-6.8474914272319595E-2</v>
      </c>
      <c r="E11" s="19"/>
      <c r="F11" s="19"/>
      <c r="G11" s="20">
        <f t="shared" si="0"/>
        <v>-1.31984083333333E-2</v>
      </c>
      <c r="H11" s="19"/>
      <c r="I11" s="19"/>
      <c r="J11" s="19"/>
      <c r="K11" s="19"/>
    </row>
    <row r="12" spans="2:11" x14ac:dyDescent="0.25">
      <c r="B12" s="4">
        <v>6</v>
      </c>
      <c r="C12" s="3">
        <v>1.0038099</v>
      </c>
      <c r="D12" s="3">
        <v>0.31453435372215099</v>
      </c>
      <c r="E12" s="19"/>
      <c r="F12" s="19"/>
      <c r="G12" s="20">
        <f t="shared" si="0"/>
        <v>0.13804949166666669</v>
      </c>
      <c r="H12" s="19"/>
      <c r="I12" s="19"/>
      <c r="J12" s="19"/>
      <c r="K12" s="19"/>
    </row>
    <row r="13" spans="2:11" x14ac:dyDescent="0.25">
      <c r="B13" s="3">
        <v>7</v>
      </c>
      <c r="C13" s="3">
        <v>0.72034330000000002</v>
      </c>
      <c r="D13" s="3">
        <v>-0.35898511684002699</v>
      </c>
      <c r="E13" s="19"/>
      <c r="F13" s="19"/>
      <c r="G13" s="20">
        <f t="shared" si="0"/>
        <v>-0.14541710833333332</v>
      </c>
      <c r="H13" s="19"/>
      <c r="I13" s="19"/>
      <c r="J13" s="19"/>
      <c r="K13" s="19"/>
    </row>
    <row r="14" spans="2:11" x14ac:dyDescent="0.25">
      <c r="B14" s="4">
        <v>8</v>
      </c>
      <c r="C14" s="3">
        <v>0.84140800000000004</v>
      </c>
      <c r="D14" s="3">
        <v>-9.4493051576368697E-2</v>
      </c>
      <c r="E14" s="19"/>
      <c r="F14" s="19"/>
      <c r="G14" s="20">
        <f t="shared" si="0"/>
        <v>-2.4352408333333297E-2</v>
      </c>
      <c r="H14" s="19"/>
      <c r="I14" s="19"/>
      <c r="J14" s="19"/>
      <c r="K14" s="19"/>
    </row>
    <row r="15" spans="2:11" x14ac:dyDescent="0.25">
      <c r="B15" s="3">
        <v>9</v>
      </c>
      <c r="C15" s="3">
        <v>0.86095770000000005</v>
      </c>
      <c r="D15" s="3">
        <v>-4.8698667949326202E-2</v>
      </c>
      <c r="E15" s="19"/>
      <c r="F15" s="19"/>
      <c r="G15" s="20">
        <f t="shared" si="0"/>
        <v>-4.8027083333332943E-3</v>
      </c>
      <c r="H15" s="19"/>
      <c r="I15" s="19"/>
      <c r="J15" s="19"/>
      <c r="K15" s="19"/>
    </row>
    <row r="16" spans="2:11" x14ac:dyDescent="0.25">
      <c r="B16" s="4">
        <v>10</v>
      </c>
      <c r="C16" s="3">
        <v>0.77738339999999995</v>
      </c>
      <c r="D16" s="3">
        <v>-0.23835204936642099</v>
      </c>
      <c r="E16" s="19"/>
      <c r="F16" s="19"/>
      <c r="G16" s="20">
        <f t="shared" si="0"/>
        <v>-8.8377008333333396E-2</v>
      </c>
      <c r="H16" s="19"/>
      <c r="I16" s="19"/>
      <c r="J16" s="19"/>
      <c r="K16" s="19"/>
    </row>
    <row r="17" spans="2:11" x14ac:dyDescent="0.25">
      <c r="B17" s="3">
        <v>11</v>
      </c>
      <c r="C17" s="3">
        <v>1.300276</v>
      </c>
      <c r="D17" s="3">
        <v>1.2561858862754001</v>
      </c>
      <c r="E17" s="19"/>
      <c r="F17" s="19"/>
      <c r="G17" s="20">
        <f t="shared" si="0"/>
        <v>0.43451559166666665</v>
      </c>
      <c r="H17" s="19"/>
      <c r="I17" s="19"/>
      <c r="J17" s="19"/>
      <c r="K17" s="19"/>
    </row>
    <row r="18" spans="2:11" x14ac:dyDescent="0.25">
      <c r="B18" s="4">
        <v>12</v>
      </c>
      <c r="C18" s="3">
        <v>0.62483759999999999</v>
      </c>
      <c r="D18" s="3">
        <v>-0.54618107089850598</v>
      </c>
      <c r="E18" s="20">
        <f>AVERAGE(C7:C18)</f>
        <v>0.86576040833333334</v>
      </c>
      <c r="F18" s="20">
        <f>AVERAGE(C19:C30)-E18</f>
        <v>8.4475691666666464E-2</v>
      </c>
      <c r="G18" s="20">
        <f>C18-E18</f>
        <v>-0.24092280833333335</v>
      </c>
      <c r="H18" s="19"/>
      <c r="I18" s="19"/>
      <c r="J18" s="19"/>
      <c r="K18" s="19"/>
    </row>
    <row r="19" spans="2:11" x14ac:dyDescent="0.25">
      <c r="B19" s="3">
        <v>13</v>
      </c>
      <c r="C19" s="3">
        <v>0.86946869999999998</v>
      </c>
      <c r="D19" s="3">
        <v>-2.8480707506333702E-2</v>
      </c>
      <c r="E19" s="20">
        <f>$F$3 * (C19 - G7) + (1 - $F$3) * (E18 + F18)</f>
        <v>0.9526081972924999</v>
      </c>
      <c r="F19" s="20">
        <f>$G$3 * (E19 - E18) + (1 - $G$3) * F18</f>
        <v>8.4585282561579961E-2</v>
      </c>
      <c r="G19" s="3">
        <f>$H$3*(C19-E19)+(1-$H$3)*G7</f>
        <v>-8.6258836755459645E-2</v>
      </c>
      <c r="H19" s="20">
        <f>E18+F18+G7</f>
        <v>0.86292859166666647</v>
      </c>
      <c r="I19" s="20">
        <f>ABS(C19-H19)</f>
        <v>6.5401083333335164E-3</v>
      </c>
      <c r="J19" s="20">
        <f>(C19-H19)^2</f>
        <v>4.2773017011738506E-5</v>
      </c>
      <c r="K19" s="21">
        <f>ABS((C19 - H19) / C19) * 100</f>
        <v>0.75219594832263847</v>
      </c>
    </row>
    <row r="20" spans="2:11" x14ac:dyDescent="0.25">
      <c r="B20" s="4">
        <v>14</v>
      </c>
      <c r="C20" s="3">
        <v>0.92698720000000001</v>
      </c>
      <c r="D20" s="3">
        <v>0.11276107432601799</v>
      </c>
      <c r="E20" s="20">
        <f>$F$3 * (C20 - G8) + (1 - $F$3) * (E19 + F19)</f>
        <v>0.99645361165350499</v>
      </c>
      <c r="F20" s="20">
        <f>$G$3 * (E20 - E19) + (1 - $G$3) * F19</f>
        <v>8.2703100650713401E-2</v>
      </c>
      <c r="G20" s="3">
        <f t="shared" ref="G20:G83" si="1">$H$3*(C20-E20)+(1-$H$3)*G8</f>
        <v>-1.5892943568688499E-2</v>
      </c>
      <c r="H20" s="20">
        <f t="shared" ref="H20:H83" si="2">E19+F19+G8</f>
        <v>1.0393110715207465</v>
      </c>
      <c r="I20" s="20">
        <f t="shared" ref="I20:I83" si="3">ABS(C20-H20)</f>
        <v>0.11232387152074652</v>
      </c>
      <c r="J20" s="20">
        <f t="shared" ref="J20:J83" si="4">(C20-H20)^2</f>
        <v>1.2616652113409172E-2</v>
      </c>
      <c r="K20" s="21">
        <f t="shared" ref="K20:K83" si="5">ABS((C20 - H20) / C20) * 100</f>
        <v>12.117089806714324</v>
      </c>
    </row>
    <row r="21" spans="2:11" x14ac:dyDescent="0.25">
      <c r="B21" s="3">
        <v>15</v>
      </c>
      <c r="C21" s="3">
        <v>0.77331450000000002</v>
      </c>
      <c r="D21" s="3">
        <v>-0.247187044467131</v>
      </c>
      <c r="E21" s="20">
        <f>$F$3 * (C21 - G9) + (1 - $F$3) * (E20 + F20)</f>
        <v>0.84281352027397849</v>
      </c>
      <c r="F21" s="20">
        <f>$G$3 * (E21 - E20) + (1 - $G$3) * F20</f>
        <v>7.1784045178916317E-2</v>
      </c>
      <c r="G21" s="3">
        <f t="shared" si="1"/>
        <v>0.24129541806240032</v>
      </c>
      <c r="H21" s="20">
        <f t="shared" si="2"/>
        <v>1.4249362039708853</v>
      </c>
      <c r="I21" s="20">
        <f t="shared" si="3"/>
        <v>0.65162170397088526</v>
      </c>
      <c r="J21" s="20">
        <f t="shared" si="4"/>
        <v>0.42461084508592001</v>
      </c>
      <c r="K21" s="21">
        <f t="shared" si="5"/>
        <v>84.263479343900215</v>
      </c>
    </row>
    <row r="22" spans="2:11" x14ac:dyDescent="0.25">
      <c r="B22" s="4">
        <v>16</v>
      </c>
      <c r="C22" s="3">
        <v>0.87814970000000003</v>
      </c>
      <c r="D22" s="3">
        <v>-7.68085539888279E-3</v>
      </c>
      <c r="E22" s="20">
        <f>$F$3 * (C22 - G10) + (1 - $F$3) * (E21 + F21)</f>
        <v>1.0160216670156299</v>
      </c>
      <c r="F22" s="20">
        <f>$G$3 * (E22 - E21) + (1 - $G$3) * F21</f>
        <v>7.6469838671114676E-2</v>
      </c>
      <c r="G22" s="3">
        <f t="shared" si="1"/>
        <v>-0.27124600841779917</v>
      </c>
      <c r="H22" s="20">
        <f t="shared" si="2"/>
        <v>0.59851335711956144</v>
      </c>
      <c r="I22" s="20">
        <f t="shared" si="3"/>
        <v>0.27963634288043859</v>
      </c>
      <c r="J22" s="20">
        <f t="shared" si="4"/>
        <v>7.8196484259546215E-2</v>
      </c>
      <c r="K22" s="21">
        <f t="shared" si="5"/>
        <v>31.843812379647634</v>
      </c>
    </row>
    <row r="23" spans="2:11" x14ac:dyDescent="0.25">
      <c r="B23" s="3">
        <v>17</v>
      </c>
      <c r="C23" s="3">
        <v>0.91537939999999995</v>
      </c>
      <c r="D23" s="3">
        <v>8.3598964154677893E-2</v>
      </c>
      <c r="E23" s="20">
        <f t="shared" ref="E23:E86" si="6">$F$3 * (C23 - G11) + (1 - $F$3) * (E22 + F22)</f>
        <v>1.0330400076566622</v>
      </c>
      <c r="F23" s="20">
        <f t="shared" ref="F23:F86" si="7">$G$3 * (E23 - E22) + (1 - $G$3) * F22</f>
        <v>7.3723179462124866E-2</v>
      </c>
      <c r="G23" s="3">
        <f t="shared" si="1"/>
        <v>-3.9481097683082847E-2</v>
      </c>
      <c r="H23" s="20">
        <f t="shared" si="2"/>
        <v>1.0792930973534114</v>
      </c>
      <c r="I23" s="20">
        <f t="shared" si="3"/>
        <v>0.16391369735341144</v>
      </c>
      <c r="J23" s="20">
        <f t="shared" si="4"/>
        <v>2.6867700180065759E-2</v>
      </c>
      <c r="K23" s="21">
        <f t="shared" si="5"/>
        <v>17.90664038904649</v>
      </c>
    </row>
    <row r="24" spans="2:11" x14ac:dyDescent="0.25">
      <c r="B24" s="4">
        <v>18</v>
      </c>
      <c r="C24" s="3">
        <v>1.0929971999999999</v>
      </c>
      <c r="D24" s="3">
        <v>0.56907813478416702</v>
      </c>
      <c r="E24" s="20">
        <f t="shared" si="6"/>
        <v>1.0516997129633028</v>
      </c>
      <c r="F24" s="20">
        <f t="shared" si="7"/>
        <v>7.1179246956141501E-2</v>
      </c>
      <c r="G24" s="3">
        <f t="shared" si="1"/>
        <v>0.11370668730176633</v>
      </c>
      <c r="H24" s="20">
        <f t="shared" si="2"/>
        <v>1.2448126787854537</v>
      </c>
      <c r="I24" s="20">
        <f t="shared" si="3"/>
        <v>0.15181547878545376</v>
      </c>
      <c r="J24" s="20">
        <f t="shared" si="4"/>
        <v>2.3047939598856561E-2</v>
      </c>
      <c r="K24" s="21">
        <f t="shared" si="5"/>
        <v>13.889832360545276</v>
      </c>
    </row>
    <row r="25" spans="2:11" x14ac:dyDescent="0.25">
      <c r="B25" s="3">
        <v>19</v>
      </c>
      <c r="C25" s="3">
        <v>0.83809800000000001</v>
      </c>
      <c r="D25" s="3">
        <v>-0.10215832598351</v>
      </c>
      <c r="E25" s="20">
        <f t="shared" si="6"/>
        <v>1.0723316909491618</v>
      </c>
      <c r="F25" s="20">
        <f t="shared" si="7"/>
        <v>6.8843963129714456E-2</v>
      </c>
      <c r="G25" s="3">
        <f t="shared" si="1"/>
        <v>-0.16776336051947577</v>
      </c>
      <c r="H25" s="20">
        <f t="shared" si="2"/>
        <v>0.97746185158611087</v>
      </c>
      <c r="I25" s="20">
        <f t="shared" si="3"/>
        <v>0.13936385158611087</v>
      </c>
      <c r="J25" s="20">
        <f t="shared" si="4"/>
        <v>1.9422283128915536E-2</v>
      </c>
      <c r="K25" s="21">
        <f t="shared" si="5"/>
        <v>16.628586583682441</v>
      </c>
    </row>
    <row r="26" spans="2:11" x14ac:dyDescent="0.25">
      <c r="B26" s="4">
        <v>20</v>
      </c>
      <c r="C26" s="3">
        <v>0.73146710000000004</v>
      </c>
      <c r="D26" s="3">
        <v>-0.33599652704481697</v>
      </c>
      <c r="E26" s="20">
        <f t="shared" si="6"/>
        <v>1.0014069800169678</v>
      </c>
      <c r="F26" s="20">
        <f t="shared" si="7"/>
        <v>6.2386650388054278E-2</v>
      </c>
      <c r="G26" s="3">
        <f t="shared" si="1"/>
        <v>-8.6142216208935724E-2</v>
      </c>
      <c r="H26" s="20">
        <f t="shared" si="2"/>
        <v>1.1168232457455429</v>
      </c>
      <c r="I26" s="20">
        <f t="shared" si="3"/>
        <v>0.38535614574554289</v>
      </c>
      <c r="J26" s="20">
        <f t="shared" si="4"/>
        <v>0.14849935906386008</v>
      </c>
      <c r="K26" s="21">
        <f t="shared" si="5"/>
        <v>52.682635452167695</v>
      </c>
    </row>
    <row r="27" spans="2:11" x14ac:dyDescent="0.25">
      <c r="B27" s="3">
        <v>21</v>
      </c>
      <c r="C27" s="3">
        <v>0.92971789999999999</v>
      </c>
      <c r="D27" s="3">
        <v>0.119670563428247</v>
      </c>
      <c r="E27" s="20">
        <f t="shared" si="6"/>
        <v>1.0169063052996206</v>
      </c>
      <c r="F27" s="20">
        <f t="shared" si="7"/>
        <v>6.0220455968184726E-2</v>
      </c>
      <c r="G27" s="3">
        <f t="shared" si="1"/>
        <v>-2.5530949690051173E-2</v>
      </c>
      <c r="H27" s="20">
        <f t="shared" si="2"/>
        <v>1.0589909220716889</v>
      </c>
      <c r="I27" s="20">
        <f t="shared" si="3"/>
        <v>0.12927302207168889</v>
      </c>
      <c r="J27" s="20">
        <f t="shared" si="4"/>
        <v>1.6711514235547363E-2</v>
      </c>
      <c r="K27" s="21">
        <f t="shared" si="5"/>
        <v>13.904542665220159</v>
      </c>
    </row>
    <row r="28" spans="2:11" x14ac:dyDescent="0.25">
      <c r="B28" s="4">
        <v>22</v>
      </c>
      <c r="C28" s="3">
        <v>0.86773040000000001</v>
      </c>
      <c r="D28" s="3">
        <v>-3.26239426159146E-2</v>
      </c>
      <c r="E28" s="20">
        <f t="shared" si="6"/>
        <v>1.0332330419584723</v>
      </c>
      <c r="F28" s="20">
        <f t="shared" si="7"/>
        <v>5.819256613609354E-2</v>
      </c>
      <c r="G28" s="3">
        <f t="shared" si="1"/>
        <v>-0.10778181775341834</v>
      </c>
      <c r="H28" s="20">
        <f t="shared" si="2"/>
        <v>0.98874975293447187</v>
      </c>
      <c r="I28" s="20">
        <f t="shared" si="3"/>
        <v>0.12101935293447186</v>
      </c>
      <c r="J28" s="20">
        <f t="shared" si="4"/>
        <v>1.4645683784678263E-2</v>
      </c>
      <c r="K28" s="21">
        <f t="shared" si="5"/>
        <v>13.946653584393475</v>
      </c>
    </row>
    <row r="29" spans="2:11" x14ac:dyDescent="0.25">
      <c r="B29" s="3">
        <v>23</v>
      </c>
      <c r="C29" s="3">
        <v>1.1075657999999999</v>
      </c>
      <c r="D29" s="3">
        <v>0.61285729443832104</v>
      </c>
      <c r="E29" s="20">
        <f t="shared" si="6"/>
        <v>0.93968085060116679</v>
      </c>
      <c r="F29" s="20">
        <f t="shared" si="7"/>
        <v>5.1181958339898505E-2</v>
      </c>
      <c r="G29" s="3">
        <f t="shared" si="1"/>
        <v>0.36743132207207968</v>
      </c>
      <c r="H29" s="20">
        <f t="shared" si="2"/>
        <v>1.5259411997612324</v>
      </c>
      <c r="I29" s="20">
        <f t="shared" si="3"/>
        <v>0.4183753997612325</v>
      </c>
      <c r="J29" s="20">
        <f t="shared" si="4"/>
        <v>0.17503797512537111</v>
      </c>
      <c r="K29" s="21">
        <f t="shared" si="5"/>
        <v>37.774315508950579</v>
      </c>
    </row>
    <row r="30" spans="2:11" x14ac:dyDescent="0.25">
      <c r="B30" s="4">
        <v>24</v>
      </c>
      <c r="C30" s="3">
        <v>1.4719572999999999</v>
      </c>
      <c r="D30" s="3">
        <v>-0.46878938389178598</v>
      </c>
      <c r="E30" s="20">
        <f t="shared" si="6"/>
        <v>1.2527384834306408</v>
      </c>
      <c r="F30" s="20">
        <f t="shared" si="7"/>
        <v>6.328061450131689E-2</v>
      </c>
      <c r="G30" s="3">
        <f t="shared" si="1"/>
        <v>-0.1251511755078159</v>
      </c>
      <c r="H30" s="20">
        <f t="shared" si="2"/>
        <v>0.74994000060773192</v>
      </c>
      <c r="I30" s="20">
        <f t="shared" si="3"/>
        <v>0.722017299392268</v>
      </c>
      <c r="J30" s="20">
        <f t="shared" si="4"/>
        <v>0.52130898062170394</v>
      </c>
      <c r="K30" s="21">
        <f t="shared" si="5"/>
        <v>49.05151116763156</v>
      </c>
    </row>
    <row r="31" spans="2:11" x14ac:dyDescent="0.25">
      <c r="B31" s="3">
        <v>25</v>
      </c>
      <c r="C31" s="3">
        <v>1.5053605000000001</v>
      </c>
      <c r="D31" s="3">
        <v>0.690445050154331</v>
      </c>
      <c r="E31" s="20">
        <f t="shared" si="6"/>
        <v>1.4159793045532418</v>
      </c>
      <c r="F31" s="20">
        <f t="shared" si="7"/>
        <v>6.7898776047220208E-2</v>
      </c>
      <c r="G31" s="3">
        <f t="shared" si="1"/>
        <v>-4.206780465338162E-2</v>
      </c>
      <c r="H31" s="20">
        <f t="shared" si="2"/>
        <v>1.2297602611764979</v>
      </c>
      <c r="I31" s="20">
        <f t="shared" si="3"/>
        <v>0.27560023882350215</v>
      </c>
      <c r="J31" s="20">
        <f t="shared" si="4"/>
        <v>7.5955491639571424E-2</v>
      </c>
      <c r="K31" s="21">
        <f t="shared" si="5"/>
        <v>18.307922841306258</v>
      </c>
    </row>
    <row r="32" spans="2:11" x14ac:dyDescent="0.25">
      <c r="B32" s="4">
        <v>26</v>
      </c>
      <c r="C32" s="3">
        <v>1.4666256</v>
      </c>
      <c r="D32" s="3">
        <v>8.9162729944089492</v>
      </c>
      <c r="E32" s="20">
        <f t="shared" si="6"/>
        <v>1.4833849765190379</v>
      </c>
      <c r="F32" s="20">
        <f t="shared" si="7"/>
        <v>6.7875994638658413E-2</v>
      </c>
      <c r="G32" s="3">
        <f t="shared" si="1"/>
        <v>-1.611093809899641E-2</v>
      </c>
      <c r="H32" s="20">
        <f t="shared" si="2"/>
        <v>1.4679851370317736</v>
      </c>
      <c r="I32" s="20">
        <f t="shared" si="3"/>
        <v>1.3595370317736055E-3</v>
      </c>
      <c r="J32" s="20">
        <f t="shared" si="4"/>
        <v>1.8483409407637857E-6</v>
      </c>
      <c r="K32" s="21">
        <f t="shared" si="5"/>
        <v>9.2698302264300148E-2</v>
      </c>
    </row>
    <row r="33" spans="2:11" x14ac:dyDescent="0.25">
      <c r="B33" s="3">
        <v>27</v>
      </c>
      <c r="C33" s="3">
        <v>1.4936126000000001</v>
      </c>
      <c r="D33" s="3">
        <v>0.70748470610168002</v>
      </c>
      <c r="E33" s="20">
        <f t="shared" si="6"/>
        <v>1.4428340588075672</v>
      </c>
      <c r="F33" s="20">
        <f t="shared" si="7"/>
        <v>6.2866671288082446E-2</v>
      </c>
      <c r="G33" s="3">
        <f t="shared" si="1"/>
        <v>0.19336137184191649</v>
      </c>
      <c r="H33" s="20">
        <f t="shared" si="2"/>
        <v>1.7925563892200966</v>
      </c>
      <c r="I33" s="20">
        <f t="shared" si="3"/>
        <v>0.29894378922009657</v>
      </c>
      <c r="J33" s="20">
        <f t="shared" si="4"/>
        <v>8.9367389113269524E-2</v>
      </c>
      <c r="K33" s="21">
        <f t="shared" si="5"/>
        <v>20.014814364855823</v>
      </c>
    </row>
    <row r="34" spans="2:11" x14ac:dyDescent="0.25">
      <c r="B34" s="4">
        <v>28</v>
      </c>
      <c r="C34" s="3">
        <v>1.4946309</v>
      </c>
      <c r="D34" s="3">
        <v>-0.24311391472376401</v>
      </c>
      <c r="E34" s="20">
        <f t="shared" si="6"/>
        <v>1.6000666299730932</v>
      </c>
      <c r="F34" s="20">
        <f t="shared" si="7"/>
        <v>6.7226375862420334E-2</v>
      </c>
      <c r="G34" s="3">
        <f t="shared" si="1"/>
        <v>-0.22952814236111116</v>
      </c>
      <c r="H34" s="20">
        <f t="shared" si="2"/>
        <v>1.2344547216778505</v>
      </c>
      <c r="I34" s="20">
        <f t="shared" si="3"/>
        <v>0.26017617832214945</v>
      </c>
      <c r="J34" s="20">
        <f t="shared" si="4"/>
        <v>6.7691643766318907E-2</v>
      </c>
      <c r="K34" s="21">
        <f t="shared" si="5"/>
        <v>17.407386554242219</v>
      </c>
    </row>
    <row r="35" spans="2:11" x14ac:dyDescent="0.25">
      <c r="B35" s="3">
        <v>29</v>
      </c>
      <c r="C35" s="3">
        <v>0.93144930000000004</v>
      </c>
      <c r="D35" s="3">
        <v>0.124061343809053</v>
      </c>
      <c r="E35" s="20">
        <f t="shared" si="6"/>
        <v>1.4147222878586267</v>
      </c>
      <c r="F35" s="20">
        <f t="shared" si="7"/>
        <v>5.5557608691888152E-2</v>
      </c>
      <c r="G35" s="3">
        <f t="shared" si="1"/>
        <v>-0.15113913725124967</v>
      </c>
      <c r="H35" s="20">
        <f t="shared" si="2"/>
        <v>1.6278119081524307</v>
      </c>
      <c r="I35" s="20">
        <f t="shared" si="3"/>
        <v>0.69636260815243067</v>
      </c>
      <c r="J35" s="20">
        <f t="shared" si="4"/>
        <v>0.48492088203285572</v>
      </c>
      <c r="K35" s="21">
        <f t="shared" si="5"/>
        <v>74.761192922946066</v>
      </c>
    </row>
    <row r="36" spans="2:11" x14ac:dyDescent="0.25">
      <c r="B36" s="4">
        <v>30</v>
      </c>
      <c r="C36" s="3">
        <v>1.1401554</v>
      </c>
      <c r="D36" s="3">
        <v>0.71313045099099603</v>
      </c>
      <c r="E36" s="20">
        <f t="shared" si="6"/>
        <v>1.3093023261672925</v>
      </c>
      <c r="F36" s="20">
        <f t="shared" si="7"/>
        <v>4.8120444940183277E-2</v>
      </c>
      <c r="G36" s="3">
        <f t="shared" si="1"/>
        <v>4.254071815295115E-2</v>
      </c>
      <c r="H36" s="20">
        <f t="shared" si="2"/>
        <v>1.5839865838522811</v>
      </c>
      <c r="I36" s="20">
        <f t="shared" si="3"/>
        <v>0.44383118385228104</v>
      </c>
      <c r="J36" s="20">
        <f t="shared" si="4"/>
        <v>0.1969861197597173</v>
      </c>
      <c r="K36" s="21">
        <f t="shared" si="5"/>
        <v>38.92725358773734</v>
      </c>
    </row>
    <row r="37" spans="2:11" x14ac:dyDescent="0.25">
      <c r="B37" s="3">
        <v>31</v>
      </c>
      <c r="C37" s="3">
        <v>0.71335079999999995</v>
      </c>
      <c r="D37" s="3">
        <v>-0.37330547436725797</v>
      </c>
      <c r="E37" s="20">
        <f t="shared" si="6"/>
        <v>1.1846656380472083</v>
      </c>
      <c r="F37" s="20">
        <f t="shared" si="7"/>
        <v>4.013906539279892E-2</v>
      </c>
      <c r="G37" s="3">
        <f t="shared" si="1"/>
        <v>-0.24413691226545325</v>
      </c>
      <c r="H37" s="20">
        <f t="shared" si="2"/>
        <v>1.1896594105880001</v>
      </c>
      <c r="I37" s="20">
        <f t="shared" si="3"/>
        <v>0.47630861058800011</v>
      </c>
      <c r="J37" s="20">
        <f t="shared" si="4"/>
        <v>0.22686989252027112</v>
      </c>
      <c r="K37" s="21">
        <f t="shared" si="5"/>
        <v>66.770600185490807</v>
      </c>
    </row>
    <row r="38" spans="2:11" x14ac:dyDescent="0.25">
      <c r="B38" s="4">
        <v>32</v>
      </c>
      <c r="C38" s="3">
        <v>0.83787670000000003</v>
      </c>
      <c r="D38" s="3">
        <v>-0.102669754965166</v>
      </c>
      <c r="E38" s="20">
        <f t="shared" si="6"/>
        <v>1.1157096984112975</v>
      </c>
      <c r="F38" s="20">
        <f t="shared" si="7"/>
        <v>3.5098876160472532E-2</v>
      </c>
      <c r="G38" s="3">
        <f t="shared" si="1"/>
        <v>-0.13437161701104994</v>
      </c>
      <c r="H38" s="20">
        <f t="shared" si="2"/>
        <v>1.1386624872310713</v>
      </c>
      <c r="I38" s="20">
        <f t="shared" si="3"/>
        <v>0.3007857872310713</v>
      </c>
      <c r="J38" s="20">
        <f t="shared" si="4"/>
        <v>9.0472089800215288E-2</v>
      </c>
      <c r="K38" s="21">
        <f t="shared" si="5"/>
        <v>35.898574006303228</v>
      </c>
    </row>
    <row r="39" spans="2:11" x14ac:dyDescent="0.25">
      <c r="B39" s="3">
        <v>33</v>
      </c>
      <c r="C39" s="3">
        <v>0.79299339999999996</v>
      </c>
      <c r="D39" s="3">
        <v>-0.20412167573607201</v>
      </c>
      <c r="E39" s="20">
        <f t="shared" si="6"/>
        <v>1.0302890862071705</v>
      </c>
      <c r="F39" s="20">
        <f t="shared" si="7"/>
        <v>2.9530875798028031E-2</v>
      </c>
      <c r="G39" s="3">
        <f t="shared" si="1"/>
        <v>-7.881095739775841E-2</v>
      </c>
      <c r="H39" s="20">
        <f t="shared" si="2"/>
        <v>1.1252776248817189</v>
      </c>
      <c r="I39" s="20">
        <f t="shared" si="3"/>
        <v>0.33228422488171894</v>
      </c>
      <c r="J39" s="20">
        <f t="shared" si="4"/>
        <v>0.11041280610524476</v>
      </c>
      <c r="K39" s="21">
        <f t="shared" si="5"/>
        <v>41.902520863568213</v>
      </c>
    </row>
    <row r="40" spans="2:11" x14ac:dyDescent="0.25">
      <c r="B40" s="4">
        <v>34</v>
      </c>
      <c r="C40" s="3">
        <v>0.88574470000000005</v>
      </c>
      <c r="D40" s="3">
        <v>1.06658355339182E-2</v>
      </c>
      <c r="E40" s="20">
        <f t="shared" si="6"/>
        <v>1.0357753297750778</v>
      </c>
      <c r="F40" s="20">
        <f t="shared" si="7"/>
        <v>2.8420013788996449E-2</v>
      </c>
      <c r="G40" s="3">
        <f t="shared" si="1"/>
        <v>-0.11841161885806784</v>
      </c>
      <c r="H40" s="20">
        <f t="shared" si="2"/>
        <v>0.95203814425178013</v>
      </c>
      <c r="I40" s="20">
        <f t="shared" si="3"/>
        <v>6.6293444251780076E-2</v>
      </c>
      <c r="J40" s="20">
        <f t="shared" si="4"/>
        <v>4.3948207507638727E-3</v>
      </c>
      <c r="K40" s="21">
        <f t="shared" si="5"/>
        <v>7.484486698230322</v>
      </c>
    </row>
    <row r="41" spans="2:11" x14ac:dyDescent="0.25">
      <c r="B41" s="3">
        <v>35</v>
      </c>
      <c r="C41" s="3">
        <v>1.1691601</v>
      </c>
      <c r="D41" s="3">
        <v>0.80516395468998203</v>
      </c>
      <c r="E41" s="20">
        <f t="shared" si="6"/>
        <v>0.96899872020784117</v>
      </c>
      <c r="F41" s="20">
        <f t="shared" si="7"/>
        <v>2.402192978993848E-2</v>
      </c>
      <c r="G41" s="3">
        <f t="shared" si="1"/>
        <v>0.32534620459445157</v>
      </c>
      <c r="H41" s="20">
        <f t="shared" si="2"/>
        <v>1.431626665636154</v>
      </c>
      <c r="I41" s="20">
        <f t="shared" si="3"/>
        <v>0.262466565636154</v>
      </c>
      <c r="J41" s="20">
        <f t="shared" si="4"/>
        <v>6.8888698076837535E-2</v>
      </c>
      <c r="K41" s="21">
        <f t="shared" si="5"/>
        <v>22.449155221440932</v>
      </c>
    </row>
    <row r="42" spans="2:11" x14ac:dyDescent="0.25">
      <c r="B42" s="4">
        <v>36</v>
      </c>
      <c r="C42" s="3">
        <v>0.60986050000000003</v>
      </c>
      <c r="D42" s="3">
        <v>-0.57394901311540403</v>
      </c>
      <c r="E42" s="20">
        <f t="shared" si="6"/>
        <v>0.89944079495026985</v>
      </c>
      <c r="F42" s="20">
        <f t="shared" si="7"/>
        <v>1.9698540486743528E-2</v>
      </c>
      <c r="G42" s="3">
        <f t="shared" si="1"/>
        <v>-0.16652154195953731</v>
      </c>
      <c r="H42" s="20">
        <f t="shared" si="2"/>
        <v>0.86786947448996377</v>
      </c>
      <c r="I42" s="20">
        <f t="shared" si="3"/>
        <v>0.25800897448996374</v>
      </c>
      <c r="J42" s="20">
        <f t="shared" si="4"/>
        <v>6.6568630917362759E-2</v>
      </c>
      <c r="K42" s="21">
        <f t="shared" si="5"/>
        <v>42.306228143971239</v>
      </c>
    </row>
    <row r="43" spans="2:11" x14ac:dyDescent="0.25">
      <c r="B43" s="3">
        <v>37</v>
      </c>
      <c r="C43" s="3">
        <v>0.87575550000000002</v>
      </c>
      <c r="D43" s="3">
        <v>-1.34352938959948E-2</v>
      </c>
      <c r="E43" s="20">
        <f t="shared" si="6"/>
        <v>0.91866201107179024</v>
      </c>
      <c r="F43" s="20">
        <f t="shared" si="7"/>
        <v>1.9676488101070221E-2</v>
      </c>
      <c r="G43" s="3">
        <f t="shared" si="1"/>
        <v>-4.2278823188253226E-2</v>
      </c>
      <c r="H43" s="20">
        <f t="shared" si="2"/>
        <v>0.87707153078363176</v>
      </c>
      <c r="I43" s="20">
        <f t="shared" si="3"/>
        <v>1.3160307836317386E-3</v>
      </c>
      <c r="J43" s="20">
        <f t="shared" si="4"/>
        <v>1.7319370234663681E-6</v>
      </c>
      <c r="K43" s="21">
        <f t="shared" si="5"/>
        <v>0.15027376746497609</v>
      </c>
    </row>
    <row r="44" spans="2:11" x14ac:dyDescent="0.25">
      <c r="B44" s="4">
        <v>38</v>
      </c>
      <c r="C44" s="3">
        <v>0.93018369999999995</v>
      </c>
      <c r="D44" s="3">
        <v>0.120851075635589</v>
      </c>
      <c r="E44" s="20">
        <f t="shared" si="6"/>
        <v>0.94122419076136987</v>
      </c>
      <c r="F44" s="20">
        <f t="shared" si="7"/>
        <v>1.9809807052459355E-2</v>
      </c>
      <c r="G44" s="3">
        <f t="shared" si="1"/>
        <v>-1.4835213548849585E-2</v>
      </c>
      <c r="H44" s="20">
        <f t="shared" si="2"/>
        <v>0.92222756107386405</v>
      </c>
      <c r="I44" s="20">
        <f t="shared" si="3"/>
        <v>7.9561389261358917E-3</v>
      </c>
      <c r="J44" s="20">
        <f t="shared" si="4"/>
        <v>6.3300146611974779E-5</v>
      </c>
      <c r="K44" s="21">
        <f t="shared" si="5"/>
        <v>0.85532985862210797</v>
      </c>
    </row>
    <row r="45" spans="2:11" x14ac:dyDescent="0.25">
      <c r="B45" s="3">
        <v>39</v>
      </c>
      <c r="C45" s="3">
        <v>0.84773489999999996</v>
      </c>
      <c r="D45" s="3">
        <v>-7.9770484341740597E-2</v>
      </c>
      <c r="E45" s="20">
        <f t="shared" si="6"/>
        <v>0.84980824546969025</v>
      </c>
      <c r="F45" s="20">
        <f t="shared" si="7"/>
        <v>1.4671177294160133E-2</v>
      </c>
      <c r="G45" s="3">
        <f t="shared" si="1"/>
        <v>0.14418999696631621</v>
      </c>
      <c r="H45" s="20">
        <f t="shared" si="2"/>
        <v>1.1543953696557456</v>
      </c>
      <c r="I45" s="20">
        <f t="shared" si="3"/>
        <v>0.30666046965574567</v>
      </c>
      <c r="J45" s="20">
        <f t="shared" si="4"/>
        <v>9.4040643649482517E-2</v>
      </c>
      <c r="K45" s="21">
        <f t="shared" si="5"/>
        <v>36.174099905022864</v>
      </c>
    </row>
    <row r="46" spans="2:11" x14ac:dyDescent="0.25">
      <c r="B46" s="4">
        <v>40</v>
      </c>
      <c r="C46" s="3">
        <v>0.78679299999999996</v>
      </c>
      <c r="D46" s="3">
        <v>-0.21778223060075599</v>
      </c>
      <c r="E46" s="20">
        <f t="shared" si="6"/>
        <v>0.91955241446177682</v>
      </c>
      <c r="F46" s="20">
        <f t="shared" si="7"/>
        <v>1.7215549510604333E-2</v>
      </c>
      <c r="G46" s="3">
        <f t="shared" si="1"/>
        <v>-0.20518113042163866</v>
      </c>
      <c r="H46" s="20">
        <f t="shared" si="2"/>
        <v>0.63495128040273918</v>
      </c>
      <c r="I46" s="20">
        <f t="shared" si="3"/>
        <v>0.15184171959726078</v>
      </c>
      <c r="J46" s="20">
        <f t="shared" si="4"/>
        <v>2.3055907810253171E-2</v>
      </c>
      <c r="K46" s="21">
        <f t="shared" si="5"/>
        <v>19.298814249397335</v>
      </c>
    </row>
    <row r="47" spans="2:11" x14ac:dyDescent="0.25">
      <c r="B47" s="3">
        <v>41</v>
      </c>
      <c r="C47" s="3">
        <v>0.8902021</v>
      </c>
      <c r="D47" s="3">
        <v>2.14980478568754E-2</v>
      </c>
      <c r="E47" s="20">
        <f t="shared" si="6"/>
        <v>0.97469669019062677</v>
      </c>
      <c r="F47" s="20">
        <f t="shared" si="7"/>
        <v>1.8967856661887279E-2</v>
      </c>
      <c r="G47" s="3">
        <f t="shared" si="1"/>
        <v>-0.13437136921079693</v>
      </c>
      <c r="H47" s="20">
        <f t="shared" si="2"/>
        <v>0.78562882672113155</v>
      </c>
      <c r="I47" s="20">
        <f t="shared" si="3"/>
        <v>0.10457327327886845</v>
      </c>
      <c r="J47" s="20">
        <f t="shared" si="4"/>
        <v>1.0935569484256903E-2</v>
      </c>
      <c r="K47" s="21">
        <f t="shared" si="5"/>
        <v>11.747138462026594</v>
      </c>
    </row>
    <row r="48" spans="2:11" x14ac:dyDescent="0.25">
      <c r="B48" s="4">
        <v>42</v>
      </c>
      <c r="C48" s="3">
        <v>1.1610157000000001</v>
      </c>
      <c r="D48" s="3">
        <v>0.77905119738511897</v>
      </c>
      <c r="E48" s="20">
        <f t="shared" si="6"/>
        <v>1.0389332916250318</v>
      </c>
      <c r="F48" s="20">
        <f t="shared" si="7"/>
        <v>2.1059272670377598E-2</v>
      </c>
      <c r="G48" s="3">
        <f t="shared" si="1"/>
        <v>6.2553407412810666E-2</v>
      </c>
      <c r="H48" s="20">
        <f t="shared" si="2"/>
        <v>1.0362052650054652</v>
      </c>
      <c r="I48" s="20">
        <f t="shared" si="3"/>
        <v>0.12481043499453492</v>
      </c>
      <c r="J48" s="20">
        <f t="shared" si="4"/>
        <v>1.5577644683525028E-2</v>
      </c>
      <c r="K48" s="21">
        <f t="shared" si="5"/>
        <v>10.750107427017129</v>
      </c>
    </row>
    <row r="49" spans="2:11" x14ac:dyDescent="0.25">
      <c r="B49" s="3">
        <v>43</v>
      </c>
      <c r="C49" s="3">
        <v>0.76100469999999998</v>
      </c>
      <c r="D49" s="3">
        <v>-0.27369799444383203</v>
      </c>
      <c r="E49" s="20">
        <f t="shared" si="6"/>
        <v>1.0400981239941443</v>
      </c>
      <c r="F49" s="20">
        <f t="shared" si="7"/>
        <v>2.0140149528459148E-2</v>
      </c>
      <c r="G49" s="3">
        <f t="shared" si="1"/>
        <v>-0.25293197061639189</v>
      </c>
      <c r="H49" s="20">
        <f t="shared" si="2"/>
        <v>0.81585565202995602</v>
      </c>
      <c r="I49" s="20">
        <f t="shared" si="3"/>
        <v>5.4850952029956046E-2</v>
      </c>
      <c r="J49" s="20">
        <f t="shared" si="4"/>
        <v>3.0086269385925391E-3</v>
      </c>
      <c r="K49" s="21">
        <f t="shared" si="5"/>
        <v>7.2077021377076971</v>
      </c>
    </row>
    <row r="50" spans="2:11" x14ac:dyDescent="0.25">
      <c r="B50" s="4">
        <v>44</v>
      </c>
      <c r="C50" s="3">
        <v>0.97222500000000001</v>
      </c>
      <c r="D50" s="3">
        <v>0.22969679698870399</v>
      </c>
      <c r="E50" s="20">
        <f t="shared" si="6"/>
        <v>1.0770524447058629</v>
      </c>
      <c r="F50" s="20">
        <f t="shared" si="7"/>
        <v>2.0916964237125735E-2</v>
      </c>
      <c r="G50" s="3">
        <f t="shared" si="1"/>
        <v>-0.12693830325906488</v>
      </c>
      <c r="H50" s="20">
        <f t="shared" si="2"/>
        <v>0.92586665651155353</v>
      </c>
      <c r="I50" s="20">
        <f t="shared" si="3"/>
        <v>4.6358343488446474E-2</v>
      </c>
      <c r="J50" s="20">
        <f t="shared" si="4"/>
        <v>2.1490960109927875E-3</v>
      </c>
      <c r="K50" s="21">
        <f t="shared" si="5"/>
        <v>4.7682731351741081</v>
      </c>
    </row>
    <row r="51" spans="2:11" x14ac:dyDescent="0.25">
      <c r="B51" s="3">
        <v>45</v>
      </c>
      <c r="C51" s="3">
        <v>1.1238497999999999</v>
      </c>
      <c r="D51" s="3">
        <v>0.66255239378191699</v>
      </c>
      <c r="E51" s="20">
        <f t="shared" si="6"/>
        <v>1.1359409610275337</v>
      </c>
      <c r="F51" s="20">
        <f t="shared" si="7"/>
        <v>2.2671249943431716E-2</v>
      </c>
      <c r="G51" s="3">
        <f t="shared" si="1"/>
        <v>-6.2024256631009904E-2</v>
      </c>
      <c r="H51" s="20">
        <f t="shared" si="2"/>
        <v>1.0191584515452301</v>
      </c>
      <c r="I51" s="20">
        <f t="shared" si="3"/>
        <v>0.10469134845476979</v>
      </c>
      <c r="J51" s="20">
        <f t="shared" si="4"/>
        <v>1.096027844127803E-2</v>
      </c>
      <c r="K51" s="21">
        <f t="shared" si="5"/>
        <v>9.3154217275982791</v>
      </c>
    </row>
    <row r="52" spans="2:11" x14ac:dyDescent="0.25">
      <c r="B52" s="4">
        <v>46</v>
      </c>
      <c r="C52" s="3">
        <v>1.35527</v>
      </c>
      <c r="D52" s="3">
        <v>1.4636839748138699</v>
      </c>
      <c r="E52" s="20">
        <f t="shared" si="6"/>
        <v>1.2728878852116174</v>
      </c>
      <c r="F52" s="20">
        <f t="shared" si="7"/>
        <v>2.7950786093349837E-2</v>
      </c>
      <c r="G52" s="3">
        <f t="shared" si="1"/>
        <v>-6.7891915472620912E-2</v>
      </c>
      <c r="H52" s="20">
        <f t="shared" si="2"/>
        <v>1.0402005921128974</v>
      </c>
      <c r="I52" s="20">
        <f t="shared" si="3"/>
        <v>0.31506940788710258</v>
      </c>
      <c r="J52" s="20">
        <f t="shared" si="4"/>
        <v>9.9268731786329417E-2</v>
      </c>
      <c r="K52" s="21">
        <f t="shared" si="5"/>
        <v>23.247722438119535</v>
      </c>
    </row>
    <row r="53" spans="2:11" x14ac:dyDescent="0.25">
      <c r="B53" s="3">
        <v>47</v>
      </c>
      <c r="C53" s="3">
        <v>1.2630923999999999</v>
      </c>
      <c r="D53" s="3">
        <v>1.1222167042489499</v>
      </c>
      <c r="E53" s="20">
        <f t="shared" si="6"/>
        <v>1.1691450302962481</v>
      </c>
      <c r="F53" s="20">
        <f t="shared" si="7"/>
        <v>2.186653987874701E-2</v>
      </c>
      <c r="G53" s="3">
        <f t="shared" si="1"/>
        <v>0.2671262577359515</v>
      </c>
      <c r="H53" s="20">
        <f t="shared" si="2"/>
        <v>1.6261848758994188</v>
      </c>
      <c r="I53" s="20">
        <f t="shared" si="3"/>
        <v>0.36309247589941895</v>
      </c>
      <c r="J53" s="20">
        <f t="shared" si="4"/>
        <v>0.13183614605477012</v>
      </c>
      <c r="K53" s="21">
        <f t="shared" si="5"/>
        <v>28.746311504955536</v>
      </c>
    </row>
    <row r="54" spans="2:11" x14ac:dyDescent="0.25">
      <c r="B54" s="4">
        <v>48</v>
      </c>
      <c r="C54" s="3">
        <v>0.77347060000000001</v>
      </c>
      <c r="D54" s="3">
        <v>-0.246848692912848</v>
      </c>
      <c r="E54" s="20">
        <f t="shared" si="6"/>
        <v>1.0999668235612485</v>
      </c>
      <c r="F54" s="20">
        <f t="shared" si="7"/>
        <v>1.766027258519192E-2</v>
      </c>
      <c r="G54" s="3">
        <f t="shared" si="1"/>
        <v>-0.20677117185052785</v>
      </c>
      <c r="H54" s="20">
        <f t="shared" si="2"/>
        <v>1.0244900282154576</v>
      </c>
      <c r="I54" s="20">
        <f t="shared" si="3"/>
        <v>0.25101942821545764</v>
      </c>
      <c r="J54" s="20">
        <f t="shared" si="4"/>
        <v>6.3010753341615294E-2</v>
      </c>
      <c r="K54" s="21">
        <f t="shared" si="5"/>
        <v>32.453648298391386</v>
      </c>
    </row>
    <row r="55" spans="2:11" x14ac:dyDescent="0.25">
      <c r="B55" s="3">
        <v>49</v>
      </c>
      <c r="C55" s="3">
        <v>0.7709222</v>
      </c>
      <c r="D55" s="3">
        <v>-0.252364777146034</v>
      </c>
      <c r="E55" s="20">
        <f t="shared" si="6"/>
        <v>1.007211759484506</v>
      </c>
      <c r="F55" s="20">
        <f t="shared" si="7"/>
        <v>1.2559084031410551E-2</v>
      </c>
      <c r="G55" s="3">
        <f t="shared" si="1"/>
        <v>-9.1091924440390437E-2</v>
      </c>
      <c r="H55" s="20">
        <f t="shared" si="2"/>
        <v>1.0753482729581874</v>
      </c>
      <c r="I55" s="20">
        <f t="shared" si="3"/>
        <v>0.30442607295818735</v>
      </c>
      <c r="J55" s="20">
        <f t="shared" si="4"/>
        <v>9.2675233896743606E-2</v>
      </c>
      <c r="K55" s="21">
        <f t="shared" si="5"/>
        <v>39.488559670247838</v>
      </c>
    </row>
    <row r="56" spans="2:11" x14ac:dyDescent="0.25">
      <c r="B56" s="4">
        <v>50</v>
      </c>
      <c r="C56" s="3">
        <v>1.0651972000000001</v>
      </c>
      <c r="D56" s="3">
        <v>0.48728743959614801</v>
      </c>
      <c r="E56" s="20">
        <f t="shared" si="6"/>
        <v>1.0416277149668614</v>
      </c>
      <c r="F56" s="20">
        <f t="shared" si="7"/>
        <v>1.35688714924442E-2</v>
      </c>
      <c r="G56" s="3">
        <f t="shared" si="1"/>
        <v>-5.1725913856213298E-3</v>
      </c>
      <c r="H56" s="20">
        <f t="shared" si="2"/>
        <v>1.0049356299670669</v>
      </c>
      <c r="I56" s="20">
        <f t="shared" si="3"/>
        <v>6.0261570032933198E-2</v>
      </c>
      <c r="J56" s="20">
        <f t="shared" si="4"/>
        <v>3.6314568228341124E-3</v>
      </c>
      <c r="K56" s="21">
        <f t="shared" si="5"/>
        <v>5.6573158503358059</v>
      </c>
    </row>
    <row r="57" spans="2:11" x14ac:dyDescent="0.25">
      <c r="B57" s="3">
        <v>51</v>
      </c>
      <c r="C57" s="3">
        <v>0.7847094</v>
      </c>
      <c r="D57" s="3">
        <v>-0.22235380877447999</v>
      </c>
      <c r="E57" s="20">
        <f t="shared" si="6"/>
        <v>0.90479317203083254</v>
      </c>
      <c r="F57" s="20">
        <f t="shared" si="7"/>
        <v>6.620233745848747E-3</v>
      </c>
      <c r="G57" s="3">
        <f t="shared" si="1"/>
        <v>7.7698716686633584E-2</v>
      </c>
      <c r="H57" s="20">
        <f t="shared" si="2"/>
        <v>1.1993865834256219</v>
      </c>
      <c r="I57" s="20">
        <f t="shared" si="3"/>
        <v>0.41467718342562188</v>
      </c>
      <c r="J57" s="20">
        <f t="shared" si="4"/>
        <v>0.17195716645380685</v>
      </c>
      <c r="K57" s="21">
        <f t="shared" si="5"/>
        <v>52.844681537601289</v>
      </c>
    </row>
    <row r="58" spans="2:11" x14ac:dyDescent="0.25">
      <c r="B58" s="4">
        <v>52</v>
      </c>
      <c r="C58" s="3">
        <v>0.93461819999999995</v>
      </c>
      <c r="D58" s="3">
        <v>0.13211731330155499</v>
      </c>
      <c r="E58" s="20">
        <f t="shared" si="6"/>
        <v>0.99424898064540723</v>
      </c>
      <c r="F58" s="20">
        <f t="shared" si="7"/>
        <v>1.0447237304783885E-2</v>
      </c>
      <c r="G58" s="3">
        <f t="shared" si="1"/>
        <v>-0.16856066241793882</v>
      </c>
      <c r="H58" s="20">
        <f t="shared" si="2"/>
        <v>0.70623227535504263</v>
      </c>
      <c r="I58" s="20">
        <f t="shared" si="3"/>
        <v>0.22838592464495733</v>
      </c>
      <c r="J58" s="20">
        <f t="shared" si="4"/>
        <v>5.2160130575932127E-2</v>
      </c>
      <c r="K58" s="21">
        <f t="shared" si="5"/>
        <v>24.436280466714358</v>
      </c>
    </row>
    <row r="59" spans="2:11" x14ac:dyDescent="0.25">
      <c r="B59" s="3">
        <v>53</v>
      </c>
      <c r="C59" s="3">
        <v>0.90339769999999997</v>
      </c>
      <c r="D59" s="3">
        <v>5.38506185039875E-2</v>
      </c>
      <c r="E59" s="20">
        <f t="shared" si="6"/>
        <v>1.0166917411024128</v>
      </c>
      <c r="F59" s="20">
        <f t="shared" si="7"/>
        <v>1.1001430474416526E-2</v>
      </c>
      <c r="G59" s="3">
        <f t="shared" si="1"/>
        <v>-0.12906831345872749</v>
      </c>
      <c r="H59" s="20">
        <f t="shared" si="2"/>
        <v>0.87032484873939409</v>
      </c>
      <c r="I59" s="20">
        <f t="shared" si="3"/>
        <v>3.3072851260605884E-2</v>
      </c>
      <c r="J59" s="20">
        <f t="shared" si="4"/>
        <v>1.0938134905061603E-3</v>
      </c>
      <c r="K59" s="21">
        <f t="shared" si="5"/>
        <v>3.6609403876726594</v>
      </c>
    </row>
    <row r="60" spans="2:11" x14ac:dyDescent="0.25">
      <c r="B60" s="4">
        <v>54</v>
      </c>
      <c r="C60" s="3">
        <v>1.1457166000000001</v>
      </c>
      <c r="D60" s="3">
        <v>0.730570369744035</v>
      </c>
      <c r="E60" s="20">
        <f t="shared" si="6"/>
        <v>1.0478121481972869</v>
      </c>
      <c r="F60" s="20">
        <f t="shared" si="7"/>
        <v>1.1930927194281665E-2</v>
      </c>
      <c r="G60" s="3">
        <f t="shared" si="1"/>
        <v>7.1447730181310148E-2</v>
      </c>
      <c r="H60" s="20">
        <f t="shared" si="2"/>
        <v>1.0902465789896401</v>
      </c>
      <c r="I60" s="20">
        <f t="shared" si="3"/>
        <v>5.5470021010360027E-2</v>
      </c>
      <c r="J60" s="20">
        <f t="shared" si="4"/>
        <v>3.0769232308897826E-3</v>
      </c>
      <c r="K60" s="21">
        <f t="shared" si="5"/>
        <v>4.841513251214133</v>
      </c>
    </row>
    <row r="61" spans="2:11" x14ac:dyDescent="0.25">
      <c r="B61" s="3">
        <v>55</v>
      </c>
      <c r="C61" s="3">
        <v>0.77390159999999997</v>
      </c>
      <c r="D61" s="3">
        <v>-0.24591455587688299</v>
      </c>
      <c r="E61" s="20">
        <f t="shared" si="6"/>
        <v>1.0478067980096117</v>
      </c>
      <c r="F61" s="20">
        <f t="shared" si="7"/>
        <v>1.1379471179235261E-2</v>
      </c>
      <c r="G61" s="3">
        <f t="shared" si="1"/>
        <v>-0.25820883462852601</v>
      </c>
      <c r="H61" s="20">
        <f t="shared" si="2"/>
        <v>0.80681110477517648</v>
      </c>
      <c r="I61" s="20">
        <f t="shared" si="3"/>
        <v>3.2909504775176512E-2</v>
      </c>
      <c r="J61" s="20">
        <f t="shared" si="4"/>
        <v>1.0830355045473657E-3</v>
      </c>
      <c r="K61" s="21">
        <f t="shared" si="5"/>
        <v>4.2524146190131296</v>
      </c>
    </row>
    <row r="62" spans="2:11" x14ac:dyDescent="0.25">
      <c r="B62" s="4">
        <v>56</v>
      </c>
      <c r="C62" s="3">
        <v>0.93227099999999996</v>
      </c>
      <c r="D62" s="3">
        <v>0.12614791326566299</v>
      </c>
      <c r="E62" s="20">
        <f t="shared" si="6"/>
        <v>1.0591946236461149</v>
      </c>
      <c r="F62" s="20">
        <f t="shared" si="7"/>
        <v>1.137985715516104E-2</v>
      </c>
      <c r="G62" s="3">
        <f t="shared" si="1"/>
        <v>-0.12693460986844668</v>
      </c>
      <c r="H62" s="20">
        <f t="shared" si="2"/>
        <v>0.9322479659297821</v>
      </c>
      <c r="I62" s="20">
        <f t="shared" si="3"/>
        <v>2.3034070217864411E-5</v>
      </c>
      <c r="J62" s="20">
        <f t="shared" si="4"/>
        <v>5.3056839080150826E-10</v>
      </c>
      <c r="K62" s="21">
        <f t="shared" si="5"/>
        <v>2.470748335823426E-3</v>
      </c>
    </row>
    <row r="63" spans="2:11" x14ac:dyDescent="0.25">
      <c r="B63" s="3">
        <v>57</v>
      </c>
      <c r="C63" s="3">
        <v>0.96015099999999998</v>
      </c>
      <c r="D63" s="3">
        <v>0.197967110860399</v>
      </c>
      <c r="E63" s="20">
        <f t="shared" si="6"/>
        <v>1.0530200821947204</v>
      </c>
      <c r="F63" s="20">
        <f t="shared" si="7"/>
        <v>1.0568843939538174E-2</v>
      </c>
      <c r="G63" s="3">
        <f t="shared" si="1"/>
        <v>-6.9784814742839471E-2</v>
      </c>
      <c r="H63" s="20">
        <f t="shared" si="2"/>
        <v>1.0085502241702662</v>
      </c>
      <c r="I63" s="20">
        <f t="shared" si="3"/>
        <v>4.8399224170266208E-2</v>
      </c>
      <c r="J63" s="20">
        <f t="shared" si="4"/>
        <v>2.3424849002836807E-3</v>
      </c>
      <c r="K63" s="21">
        <f t="shared" si="5"/>
        <v>5.0407929763408266</v>
      </c>
    </row>
    <row r="64" spans="2:11" x14ac:dyDescent="0.25">
      <c r="B64" s="4">
        <v>58</v>
      </c>
      <c r="C64" s="3">
        <v>1.0596341</v>
      </c>
      <c r="D64" s="3">
        <v>0.47119140311089602</v>
      </c>
      <c r="E64" s="20">
        <f t="shared" si="6"/>
        <v>1.0867789084372825</v>
      </c>
      <c r="F64" s="20">
        <f t="shared" si="7"/>
        <v>1.1640221121937879E-2</v>
      </c>
      <c r="G64" s="3">
        <f t="shared" si="1"/>
        <v>-5.7639943342529767E-2</v>
      </c>
      <c r="H64" s="20">
        <f t="shared" si="2"/>
        <v>0.99569701066163763</v>
      </c>
      <c r="I64" s="20">
        <f t="shared" si="3"/>
        <v>6.3937089338362396E-2</v>
      </c>
      <c r="J64" s="20">
        <f t="shared" si="4"/>
        <v>4.0879513930617345E-3</v>
      </c>
      <c r="K64" s="21">
        <f t="shared" si="5"/>
        <v>6.0338837093259263</v>
      </c>
    </row>
    <row r="65" spans="2:11" x14ac:dyDescent="0.25">
      <c r="B65" s="3">
        <v>59</v>
      </c>
      <c r="C65" s="3">
        <v>1.2593139</v>
      </c>
      <c r="D65" s="3">
        <v>1.10887963110716</v>
      </c>
      <c r="E65" s="20">
        <f t="shared" si="6"/>
        <v>1.0598889691172617</v>
      </c>
      <c r="F65" s="20">
        <f t="shared" si="7"/>
        <v>9.8601277095193875E-3</v>
      </c>
      <c r="G65" s="3">
        <f t="shared" si="1"/>
        <v>0.25009260389968302</v>
      </c>
      <c r="H65" s="20">
        <f t="shared" si="2"/>
        <v>1.3655453872951719</v>
      </c>
      <c r="I65" s="20">
        <f t="shared" si="3"/>
        <v>0.10623148729517196</v>
      </c>
      <c r="J65" s="20">
        <f t="shared" si="4"/>
        <v>1.1285128892944281E-2</v>
      </c>
      <c r="K65" s="21">
        <f t="shared" si="5"/>
        <v>8.435663840061796</v>
      </c>
    </row>
    <row r="66" spans="2:11" x14ac:dyDescent="0.25">
      <c r="B66" s="4">
        <v>60</v>
      </c>
      <c r="C66" s="3">
        <v>0.64057059999999999</v>
      </c>
      <c r="D66" s="3">
        <v>-0.51656035743189699</v>
      </c>
      <c r="E66" s="20">
        <f t="shared" si="6"/>
        <v>0.98908196005789406</v>
      </c>
      <c r="F66" s="20">
        <f t="shared" si="7"/>
        <v>6.1333059907968061E-3</v>
      </c>
      <c r="G66" s="3">
        <f t="shared" si="1"/>
        <v>-0.24243300320350117</v>
      </c>
      <c r="H66" s="20">
        <f t="shared" si="2"/>
        <v>0.86297792497625325</v>
      </c>
      <c r="I66" s="20">
        <f t="shared" si="3"/>
        <v>0.22240732497625326</v>
      </c>
      <c r="J66" s="20">
        <f t="shared" si="4"/>
        <v>4.946501820309273E-2</v>
      </c>
      <c r="K66" s="21">
        <f t="shared" si="5"/>
        <v>34.720189308758982</v>
      </c>
    </row>
    <row r="67" spans="2:11" x14ac:dyDescent="0.25">
      <c r="B67" s="3">
        <v>61</v>
      </c>
      <c r="C67" s="3">
        <v>0.8394064</v>
      </c>
      <c r="D67" s="3">
        <v>-9.9131238838018595E-2</v>
      </c>
      <c r="E67" s="20">
        <f t="shared" si="6"/>
        <v>0.97174243132736027</v>
      </c>
      <c r="F67" s="20">
        <f t="shared" si="7"/>
        <v>5.0488610266713327E-3</v>
      </c>
      <c r="G67" s="3">
        <f t="shared" si="1"/>
        <v>-0.10146894173315205</v>
      </c>
      <c r="H67" s="20">
        <f t="shared" si="2"/>
        <v>0.90412334160830032</v>
      </c>
      <c r="I67" s="20">
        <f t="shared" si="3"/>
        <v>6.4716941608300327E-2</v>
      </c>
      <c r="J67" s="20">
        <f t="shared" si="4"/>
        <v>4.1882825311321545E-3</v>
      </c>
      <c r="K67" s="21">
        <f t="shared" si="5"/>
        <v>7.7098461017571855</v>
      </c>
    </row>
    <row r="68" spans="2:11" x14ac:dyDescent="0.25">
      <c r="B68" s="4">
        <v>62</v>
      </c>
      <c r="C68" s="3">
        <v>0.91925299999999999</v>
      </c>
      <c r="D68" s="3">
        <v>9.3292876050985199E-2</v>
      </c>
      <c r="E68" s="20">
        <f t="shared" si="6"/>
        <v>0.95779825261278928</v>
      </c>
      <c r="F68" s="20">
        <f t="shared" si="7"/>
        <v>4.1713825906259374E-3</v>
      </c>
      <c r="G68" s="3">
        <f t="shared" si="1"/>
        <v>-1.3569152950376789E-2</v>
      </c>
      <c r="H68" s="20">
        <f t="shared" si="2"/>
        <v>0.9716187009684103</v>
      </c>
      <c r="I68" s="20">
        <f t="shared" si="3"/>
        <v>5.2365700968410311E-2</v>
      </c>
      <c r="J68" s="20">
        <f t="shared" si="4"/>
        <v>2.7421666379129684E-3</v>
      </c>
      <c r="K68" s="21">
        <f t="shared" si="5"/>
        <v>5.6965493687168074</v>
      </c>
    </row>
    <row r="69" spans="2:11" x14ac:dyDescent="0.25">
      <c r="B69" s="3">
        <v>63</v>
      </c>
      <c r="C69" s="3">
        <v>1.0581867</v>
      </c>
      <c r="D69" s="3">
        <v>0.467018140653845</v>
      </c>
      <c r="E69" s="20">
        <f t="shared" si="6"/>
        <v>0.9686862400628945</v>
      </c>
      <c r="F69" s="20">
        <f t="shared" si="7"/>
        <v>4.4816897351338805E-3</v>
      </c>
      <c r="G69" s="3">
        <f t="shared" si="1"/>
        <v>8.0668035288452331E-2</v>
      </c>
      <c r="H69" s="20">
        <f t="shared" si="2"/>
        <v>1.0396683518900487</v>
      </c>
      <c r="I69" s="20">
        <f t="shared" si="3"/>
        <v>1.8518348109951344E-2</v>
      </c>
      <c r="J69" s="20">
        <f t="shared" si="4"/>
        <v>3.4292921672133848E-4</v>
      </c>
      <c r="K69" s="21">
        <f t="shared" si="5"/>
        <v>1.7500076413690839</v>
      </c>
    </row>
    <row r="70" spans="2:11" x14ac:dyDescent="0.25">
      <c r="B70" s="4">
        <v>64</v>
      </c>
      <c r="C70" s="3">
        <v>0.78663810000000001</v>
      </c>
      <c r="D70" s="3">
        <v>-0.218122417041786</v>
      </c>
      <c r="E70" s="20">
        <f t="shared" si="6"/>
        <v>0.96665051278926994</v>
      </c>
      <c r="F70" s="20">
        <f t="shared" si="7"/>
        <v>4.1805850693292408E-3</v>
      </c>
      <c r="G70" s="3">
        <f t="shared" si="1"/>
        <v>-0.17144192281136572</v>
      </c>
      <c r="H70" s="20">
        <f t="shared" si="2"/>
        <v>0.80460726738008947</v>
      </c>
      <c r="I70" s="20">
        <f t="shared" si="3"/>
        <v>1.7969167380089468E-2</v>
      </c>
      <c r="J70" s="20">
        <f t="shared" si="4"/>
        <v>3.228909763336714E-4</v>
      </c>
      <c r="K70" s="21">
        <f t="shared" si="5"/>
        <v>2.2842991434167081</v>
      </c>
    </row>
    <row r="71" spans="2:11" x14ac:dyDescent="0.25">
      <c r="B71" s="3">
        <v>65</v>
      </c>
      <c r="C71" s="3">
        <v>0.90481829999999996</v>
      </c>
      <c r="D71" s="3">
        <v>5.7359110403570703E-2</v>
      </c>
      <c r="E71" s="20">
        <f t="shared" si="6"/>
        <v>0.99370133336676569</v>
      </c>
      <c r="F71" s="20">
        <f t="shared" si="7"/>
        <v>5.2371899498065335E-3</v>
      </c>
      <c r="G71" s="3">
        <f t="shared" si="1"/>
        <v>-0.1189576969875899</v>
      </c>
      <c r="H71" s="20">
        <f t="shared" si="2"/>
        <v>0.84176278439987173</v>
      </c>
      <c r="I71" s="20">
        <f t="shared" si="3"/>
        <v>6.3055515600128231E-2</v>
      </c>
      <c r="J71" s="20">
        <f t="shared" si="4"/>
        <v>3.9759980475980146E-3</v>
      </c>
      <c r="K71" s="21">
        <f t="shared" si="5"/>
        <v>6.9688594494749099</v>
      </c>
    </row>
    <row r="72" spans="2:11" x14ac:dyDescent="0.25">
      <c r="B72" s="4">
        <v>66</v>
      </c>
      <c r="C72" s="3">
        <v>1.2165193999999999</v>
      </c>
      <c r="D72" s="3">
        <v>0.96129498925830803</v>
      </c>
      <c r="E72" s="20">
        <f t="shared" si="6"/>
        <v>1.0519410155528903</v>
      </c>
      <c r="F72" s="20">
        <f t="shared" si="7"/>
        <v>7.685905091124429E-3</v>
      </c>
      <c r="G72" s="3">
        <f t="shared" si="1"/>
        <v>9.4879402794585288E-2</v>
      </c>
      <c r="H72" s="20">
        <f t="shared" si="2"/>
        <v>1.0703862534978823</v>
      </c>
      <c r="I72" s="20">
        <f t="shared" si="3"/>
        <v>0.14613314650211762</v>
      </c>
      <c r="J72" s="20">
        <f t="shared" si="4"/>
        <v>2.1354896506609371E-2</v>
      </c>
      <c r="K72" s="21">
        <f t="shared" si="5"/>
        <v>12.012397541881997</v>
      </c>
    </row>
    <row r="73" spans="2:11" x14ac:dyDescent="0.25">
      <c r="B73" s="3">
        <v>67</v>
      </c>
      <c r="C73" s="3">
        <v>0.5366168</v>
      </c>
      <c r="D73" s="3">
        <v>-0.70391267705821903</v>
      </c>
      <c r="E73" s="20">
        <f t="shared" si="6"/>
        <v>0.96358349420619693</v>
      </c>
      <c r="F73" s="20">
        <f t="shared" si="7"/>
        <v>3.2486987896972455E-3</v>
      </c>
      <c r="G73" s="3">
        <f t="shared" si="1"/>
        <v>-0.300668312098268</v>
      </c>
      <c r="H73" s="20">
        <f t="shared" si="2"/>
        <v>0.8014180860154887</v>
      </c>
      <c r="I73" s="20">
        <f t="shared" si="3"/>
        <v>0.26480128601548869</v>
      </c>
      <c r="J73" s="20">
        <f t="shared" si="4"/>
        <v>7.0119721075456651E-2</v>
      </c>
      <c r="K73" s="21">
        <f t="shared" si="5"/>
        <v>49.346439771451188</v>
      </c>
    </row>
    <row r="74" spans="2:11" x14ac:dyDescent="0.25">
      <c r="B74" s="4">
        <v>68</v>
      </c>
      <c r="C74" s="3">
        <v>0.93222700000000003</v>
      </c>
      <c r="D74" s="3">
        <v>0.12603602066449501</v>
      </c>
      <c r="E74" s="20">
        <f t="shared" si="6"/>
        <v>1.000320072495569</v>
      </c>
      <c r="F74" s="20">
        <f t="shared" si="7"/>
        <v>4.7958388225822213E-3</v>
      </c>
      <c r="G74" s="3">
        <f t="shared" si="1"/>
        <v>-0.11213007906543063</v>
      </c>
      <c r="H74" s="20">
        <f t="shared" si="2"/>
        <v>0.83989758312744756</v>
      </c>
      <c r="I74" s="20">
        <f t="shared" si="3"/>
        <v>9.2329416872552472E-2</v>
      </c>
      <c r="J74" s="20">
        <f t="shared" si="4"/>
        <v>8.5247212200255766E-3</v>
      </c>
      <c r="K74" s="21">
        <f t="shared" si="5"/>
        <v>9.904177509614339</v>
      </c>
    </row>
    <row r="75" spans="2:11" x14ac:dyDescent="0.25">
      <c r="B75" s="3">
        <v>69</v>
      </c>
      <c r="C75" s="3">
        <v>0.7936706</v>
      </c>
      <c r="D75" s="3">
        <v>-0.20262475070468</v>
      </c>
      <c r="E75" s="20">
        <f t="shared" si="6"/>
        <v>0.95373564921028553</v>
      </c>
      <c r="F75" s="20">
        <f t="shared" si="7"/>
        <v>2.4220707131988274E-3</v>
      </c>
      <c r="G75" s="3">
        <f t="shared" si="1"/>
        <v>-9.2499321734848899E-2</v>
      </c>
      <c r="H75" s="20">
        <f t="shared" si="2"/>
        <v>0.93533109657531166</v>
      </c>
      <c r="I75" s="20">
        <f t="shared" si="3"/>
        <v>0.14166049657531166</v>
      </c>
      <c r="J75" s="20">
        <f t="shared" si="4"/>
        <v>2.0067696289963886E-2</v>
      </c>
      <c r="K75" s="21">
        <f t="shared" si="5"/>
        <v>17.848777134407101</v>
      </c>
    </row>
    <row r="76" spans="2:11" x14ac:dyDescent="0.25">
      <c r="B76" s="4">
        <v>70</v>
      </c>
      <c r="C76" s="3">
        <v>0.96752749999999998</v>
      </c>
      <c r="D76" s="3">
        <v>0.21730634808441501</v>
      </c>
      <c r="E76" s="20">
        <f t="shared" si="6"/>
        <v>0.98118754660757213</v>
      </c>
      <c r="F76" s="20">
        <f t="shared" si="7"/>
        <v>3.5784487060036823E-3</v>
      </c>
      <c r="G76" s="3">
        <f t="shared" si="1"/>
        <v>-4.6574601324014427E-2</v>
      </c>
      <c r="H76" s="20">
        <f t="shared" si="2"/>
        <v>0.89851777658095455</v>
      </c>
      <c r="I76" s="20">
        <f t="shared" si="3"/>
        <v>6.9009723419045432E-2</v>
      </c>
      <c r="J76" s="20">
        <f t="shared" si="4"/>
        <v>4.7623419263731473E-3</v>
      </c>
      <c r="K76" s="21">
        <f t="shared" si="5"/>
        <v>7.1325852153086542</v>
      </c>
    </row>
    <row r="77" spans="2:11" x14ac:dyDescent="0.25">
      <c r="B77" s="3">
        <v>71</v>
      </c>
      <c r="C77" s="3">
        <v>1.2630627000000001</v>
      </c>
      <c r="D77" s="3">
        <v>1.1221114605965301</v>
      </c>
      <c r="E77" s="20">
        <f t="shared" si="6"/>
        <v>0.99499562266892694</v>
      </c>
      <c r="F77" s="20">
        <f t="shared" si="7"/>
        <v>4.0510574898209046E-3</v>
      </c>
      <c r="G77" s="3">
        <f t="shared" si="1"/>
        <v>0.25461498141502076</v>
      </c>
      <c r="H77" s="20">
        <f t="shared" si="2"/>
        <v>1.2348585992132588</v>
      </c>
      <c r="I77" s="20">
        <f t="shared" si="3"/>
        <v>2.8204100786741293E-2</v>
      </c>
      <c r="J77" s="20">
        <f t="shared" si="4"/>
        <v>7.9547130118866078E-4</v>
      </c>
      <c r="K77" s="21">
        <f t="shared" si="5"/>
        <v>2.2329929295466719</v>
      </c>
    </row>
    <row r="78" spans="2:11" x14ac:dyDescent="0.25">
      <c r="B78" s="4">
        <v>72</v>
      </c>
      <c r="C78" s="3">
        <v>0.51210940000000005</v>
      </c>
      <c r="D78" s="3">
        <v>-0.74531601535543202</v>
      </c>
      <c r="E78" s="20">
        <f t="shared" si="6"/>
        <v>0.9103649789070799</v>
      </c>
      <c r="F78" s="20">
        <f t="shared" si="7"/>
        <v>-4.6037108006154008E-5</v>
      </c>
      <c r="G78" s="3">
        <f t="shared" si="1"/>
        <v>-0.28163796325052154</v>
      </c>
      <c r="H78" s="20">
        <f t="shared" si="2"/>
        <v>0.75661367695524673</v>
      </c>
      <c r="I78" s="20">
        <f t="shared" si="3"/>
        <v>0.24450427695524668</v>
      </c>
      <c r="J78" s="20">
        <f t="shared" si="4"/>
        <v>5.9782341449407972E-2</v>
      </c>
      <c r="K78" s="21">
        <f t="shared" si="5"/>
        <v>47.744539927454298</v>
      </c>
    </row>
    <row r="79" spans="2:11" x14ac:dyDescent="0.25">
      <c r="B79" s="3">
        <v>73</v>
      </c>
      <c r="C79" s="3">
        <v>0.88599470000000002</v>
      </c>
      <c r="D79" s="3">
        <v>1.12721153529153E-2</v>
      </c>
      <c r="E79" s="20">
        <f t="shared" si="6"/>
        <v>0.93829932446516406</v>
      </c>
      <c r="F79" s="20">
        <f t="shared" si="7"/>
        <v>1.2466565711672186E-3</v>
      </c>
      <c r="G79" s="3">
        <f t="shared" si="1"/>
        <v>-8.9099199508526253E-2</v>
      </c>
      <c r="H79" s="20">
        <f t="shared" si="2"/>
        <v>0.80885000006592178</v>
      </c>
      <c r="I79" s="20">
        <f t="shared" si="3"/>
        <v>7.7144699934078242E-2</v>
      </c>
      <c r="J79" s="20">
        <f t="shared" si="4"/>
        <v>5.9513047279189718E-3</v>
      </c>
      <c r="K79" s="21">
        <f t="shared" si="5"/>
        <v>8.7071288275289049</v>
      </c>
    </row>
    <row r="80" spans="2:11" x14ac:dyDescent="0.25">
      <c r="B80" s="4">
        <v>74</v>
      </c>
      <c r="C80" s="3">
        <v>0.83565929999999999</v>
      </c>
      <c r="D80" s="3">
        <v>-0.10778955783333</v>
      </c>
      <c r="E80" s="20">
        <f t="shared" si="6"/>
        <v>0.90678781359955551</v>
      </c>
      <c r="F80" s="20">
        <f t="shared" si="7"/>
        <v>-2.6677076441182176E-4</v>
      </c>
      <c r="G80" s="3">
        <f t="shared" si="1"/>
        <v>-2.8051088089710158E-2</v>
      </c>
      <c r="H80" s="20">
        <f t="shared" si="2"/>
        <v>0.9259768280859545</v>
      </c>
      <c r="I80" s="20">
        <f t="shared" si="3"/>
        <v>9.0317528085954502E-2</v>
      </c>
      <c r="J80" s="20">
        <f t="shared" si="4"/>
        <v>8.157255879557181E-3</v>
      </c>
      <c r="K80" s="21">
        <f t="shared" si="5"/>
        <v>10.807936689743595</v>
      </c>
    </row>
    <row r="81" spans="2:11" x14ac:dyDescent="0.25">
      <c r="B81" s="3">
        <v>75</v>
      </c>
      <c r="C81" s="3">
        <v>0.96600790000000003</v>
      </c>
      <c r="D81" s="3">
        <v>0.21331086554522399</v>
      </c>
      <c r="E81" s="20">
        <f t="shared" si="6"/>
        <v>0.89883862952971538</v>
      </c>
      <c r="F81" s="20">
        <f t="shared" si="7"/>
        <v>-6.2169825912260961E-4</v>
      </c>
      <c r="G81" s="3">
        <f t="shared" si="1"/>
        <v>7.7271746060201346E-2</v>
      </c>
      <c r="H81" s="20">
        <f t="shared" si="2"/>
        <v>0.98718907812359602</v>
      </c>
      <c r="I81" s="20">
        <f t="shared" si="3"/>
        <v>2.118117812359599E-2</v>
      </c>
      <c r="J81" s="20">
        <f t="shared" si="4"/>
        <v>4.4864230670350132E-4</v>
      </c>
      <c r="K81" s="21">
        <f t="shared" si="5"/>
        <v>2.1926506112005906</v>
      </c>
    </row>
    <row r="82" spans="2:11" x14ac:dyDescent="0.25">
      <c r="B82" s="4">
        <v>76</v>
      </c>
      <c r="C82" s="3">
        <v>0.75342480000000001</v>
      </c>
      <c r="D82" s="3">
        <v>-0.28986096017704899</v>
      </c>
      <c r="E82" s="20">
        <f t="shared" si="6"/>
        <v>0.90788281066243104</v>
      </c>
      <c r="F82" s="20">
        <f t="shared" si="7"/>
        <v>-1.7513463121968174E-4</v>
      </c>
      <c r="G82" s="3">
        <f t="shared" si="1"/>
        <v>-0.16716877051469375</v>
      </c>
      <c r="H82" s="20">
        <f t="shared" si="2"/>
        <v>0.72677500845922705</v>
      </c>
      <c r="I82" s="20">
        <f t="shared" si="3"/>
        <v>2.664979154077296E-2</v>
      </c>
      <c r="J82" s="20">
        <f t="shared" si="4"/>
        <v>7.1021138916665407E-4</v>
      </c>
      <c r="K82" s="21">
        <f t="shared" si="5"/>
        <v>3.5371534811135712</v>
      </c>
    </row>
    <row r="83" spans="2:11" x14ac:dyDescent="0.25">
      <c r="B83" s="3">
        <v>77</v>
      </c>
      <c r="C83" s="3">
        <v>0.87595339999999999</v>
      </c>
      <c r="D83" s="3">
        <v>-1.2960256442431499E-2</v>
      </c>
      <c r="E83" s="20">
        <f t="shared" si="6"/>
        <v>0.93933635681208982</v>
      </c>
      <c r="F83" s="20">
        <f t="shared" si="7"/>
        <v>1.2861104208569034E-3</v>
      </c>
      <c r="G83" s="3">
        <f t="shared" si="1"/>
        <v>-0.10497509235943409</v>
      </c>
      <c r="H83" s="20">
        <f t="shared" si="2"/>
        <v>0.78874997904362143</v>
      </c>
      <c r="I83" s="20">
        <f t="shared" si="3"/>
        <v>8.7203420956378563E-2</v>
      </c>
      <c r="J83" s="20">
        <f t="shared" si="4"/>
        <v>7.6044366264953643E-3</v>
      </c>
      <c r="K83" s="21">
        <f t="shared" si="5"/>
        <v>9.9552580030374394</v>
      </c>
    </row>
    <row r="84" spans="2:11" x14ac:dyDescent="0.25">
      <c r="B84" s="4">
        <v>78</v>
      </c>
      <c r="C84" s="3">
        <v>1.2029947000000001</v>
      </c>
      <c r="D84" s="3">
        <v>0.915950962744008</v>
      </c>
      <c r="E84" s="20">
        <f t="shared" si="6"/>
        <v>1.0013721166639609</v>
      </c>
      <c r="F84" s="20">
        <f t="shared" si="7"/>
        <v>4.0927442245697566E-3</v>
      </c>
      <c r="G84" s="3">
        <f t="shared" ref="G84:G147" si="8">$H$3*(C84-E84)+(1-$H$3)*G72</f>
        <v>0.12173598701881508</v>
      </c>
      <c r="H84" s="20">
        <f t="shared" ref="H84:H147" si="9">E83+F83+G72</f>
        <v>1.035501870027532</v>
      </c>
      <c r="I84" s="20">
        <f t="shared" ref="I84:I147" si="10">ABS(C84-H84)</f>
        <v>0.16749282997246806</v>
      </c>
      <c r="J84" s="20">
        <f t="shared" ref="J84:J147" si="11">(C84-H84)^2</f>
        <v>2.8053848092186095E-2</v>
      </c>
      <c r="K84" s="21">
        <f t="shared" ref="K84:K147" si="12">ABS((C84 - H84) / C84) * 100</f>
        <v>13.922989849620123</v>
      </c>
    </row>
    <row r="85" spans="2:11" x14ac:dyDescent="0.25">
      <c r="B85" s="3">
        <v>79</v>
      </c>
      <c r="C85" s="3">
        <v>0.71473209999999998</v>
      </c>
      <c r="D85" s="3">
        <v>-0.370484670014252</v>
      </c>
      <c r="E85" s="20">
        <f t="shared" si="6"/>
        <v>1.0090684853123024</v>
      </c>
      <c r="F85" s="20">
        <f t="shared" si="7"/>
        <v>4.2592316729480138E-3</v>
      </c>
      <c r="G85" s="3">
        <f t="shared" si="8"/>
        <v>-0.29907519931891902</v>
      </c>
      <c r="H85" s="20">
        <f t="shared" si="9"/>
        <v>0.70479654879026254</v>
      </c>
      <c r="I85" s="20">
        <f t="shared" si="10"/>
        <v>9.9355512097374366E-3</v>
      </c>
      <c r="J85" s="20">
        <f t="shared" si="11"/>
        <v>9.8715177841315045E-5</v>
      </c>
      <c r="K85" s="21">
        <f t="shared" si="12"/>
        <v>1.3901084349978736</v>
      </c>
    </row>
    <row r="86" spans="2:11" x14ac:dyDescent="0.25">
      <c r="B86" s="4">
        <v>80</v>
      </c>
      <c r="C86" s="3">
        <v>0.76483959999999995</v>
      </c>
      <c r="D86" s="3">
        <v>-0.26547398459167099</v>
      </c>
      <c r="E86" s="20">
        <f t="shared" si="6"/>
        <v>0.96387065663173177</v>
      </c>
      <c r="F86" s="20">
        <f t="shared" si="7"/>
        <v>1.974315484615451E-3</v>
      </c>
      <c r="G86" s="3">
        <f t="shared" si="8"/>
        <v>-0.13399436502111201</v>
      </c>
      <c r="H86" s="20">
        <f t="shared" si="9"/>
        <v>0.90119763791981977</v>
      </c>
      <c r="I86" s="20">
        <f t="shared" si="10"/>
        <v>0.13635803791981982</v>
      </c>
      <c r="J86" s="20">
        <f t="shared" si="11"/>
        <v>1.8593514505343019E-2</v>
      </c>
      <c r="K86" s="21">
        <f t="shared" si="12"/>
        <v>17.828318240820668</v>
      </c>
    </row>
    <row r="87" spans="2:11" x14ac:dyDescent="0.25">
      <c r="B87" s="3">
        <v>81</v>
      </c>
      <c r="C87" s="3">
        <v>0.90532579999999996</v>
      </c>
      <c r="D87" s="3">
        <v>5.8613726351625803E-2</v>
      </c>
      <c r="E87" s="20">
        <f t="shared" ref="E87:E150" si="13">$F$3 * (C87 - G75) + (1 - $F$3) * (E86 + F86)</f>
        <v>0.97744417238297765</v>
      </c>
      <c r="F87" s="20">
        <f t="shared" ref="F87:F150" si="14">$G$3 * (E87 - E86) + (1 - $G$3) * F86</f>
        <v>2.5101985369337769E-3</v>
      </c>
      <c r="G87" s="3">
        <f t="shared" si="8"/>
        <v>-8.7371474877918104E-2</v>
      </c>
      <c r="H87" s="20">
        <f t="shared" si="9"/>
        <v>0.87334565038149836</v>
      </c>
      <c r="I87" s="20">
        <f t="shared" si="10"/>
        <v>3.1980149618501597E-2</v>
      </c>
      <c r="J87" s="20">
        <f t="shared" si="11"/>
        <v>1.0227299696217479E-3</v>
      </c>
      <c r="K87" s="21">
        <f t="shared" si="12"/>
        <v>3.5324465091463866</v>
      </c>
    </row>
    <row r="88" spans="2:11" x14ac:dyDescent="0.25">
      <c r="B88" s="4">
        <v>82</v>
      </c>
      <c r="C88" s="3">
        <v>0.926929</v>
      </c>
      <c r="D88" s="3">
        <v>0.11261399556212</v>
      </c>
      <c r="E88" s="20">
        <f t="shared" si="13"/>
        <v>0.9776146767874796</v>
      </c>
      <c r="F88" s="20">
        <f t="shared" si="14"/>
        <v>2.4021046680154264E-3</v>
      </c>
      <c r="G88" s="3">
        <f t="shared" si="8"/>
        <v>-4.7608947910622257E-2</v>
      </c>
      <c r="H88" s="20">
        <f t="shared" si="9"/>
        <v>0.93337976959589697</v>
      </c>
      <c r="I88" s="20">
        <f t="shared" si="10"/>
        <v>6.4507695958969657E-3</v>
      </c>
      <c r="J88" s="20">
        <f t="shared" si="11"/>
        <v>4.1612428379348704E-5</v>
      </c>
      <c r="K88" s="21">
        <f t="shared" si="12"/>
        <v>0.6959292023334005</v>
      </c>
    </row>
    <row r="89" spans="2:11" x14ac:dyDescent="0.25">
      <c r="B89" s="3">
        <v>83</v>
      </c>
      <c r="C89" s="3">
        <v>1.3558037000000001</v>
      </c>
      <c r="D89" s="3">
        <v>1.4657543918687499</v>
      </c>
      <c r="E89" s="20">
        <f t="shared" si="13"/>
        <v>1.023965843052359</v>
      </c>
      <c r="F89" s="20">
        <f t="shared" si="14"/>
        <v>4.4325513137905437E-3</v>
      </c>
      <c r="G89" s="3">
        <f t="shared" si="8"/>
        <v>0.274044256899028</v>
      </c>
      <c r="H89" s="20">
        <f t="shared" si="9"/>
        <v>1.2346317628705157</v>
      </c>
      <c r="I89" s="20">
        <f t="shared" si="10"/>
        <v>0.12117193712948438</v>
      </c>
      <c r="J89" s="20">
        <f t="shared" si="11"/>
        <v>1.4682638347711715E-2</v>
      </c>
      <c r="K89" s="21">
        <f t="shared" si="12"/>
        <v>8.9372773602464992</v>
      </c>
    </row>
    <row r="90" spans="2:11" x14ac:dyDescent="0.25">
      <c r="B90" s="4">
        <v>84</v>
      </c>
      <c r="C90" s="3">
        <v>0.50282459999999995</v>
      </c>
      <c r="D90" s="3">
        <v>-0.76073885005677899</v>
      </c>
      <c r="E90" s="20">
        <f t="shared" si="13"/>
        <v>0.93992286842051143</v>
      </c>
      <c r="F90" s="20">
        <f t="shared" si="14"/>
        <v>3.4498201510206085E-4</v>
      </c>
      <c r="G90" s="3">
        <f t="shared" si="8"/>
        <v>-0.32075177603129101</v>
      </c>
      <c r="H90" s="20">
        <f t="shared" si="9"/>
        <v>0.74676043111562818</v>
      </c>
      <c r="I90" s="20">
        <f t="shared" si="10"/>
        <v>0.24393583111562822</v>
      </c>
      <c r="J90" s="20">
        <f t="shared" si="11"/>
        <v>5.9504689702072296E-2</v>
      </c>
      <c r="K90" s="21">
        <f t="shared" si="12"/>
        <v>48.51310598479634</v>
      </c>
    </row>
    <row r="91" spans="2:11" x14ac:dyDescent="0.25">
      <c r="B91" s="3">
        <v>85</v>
      </c>
      <c r="C91" s="3">
        <v>0.84893430000000003</v>
      </c>
      <c r="D91" s="3">
        <v>-7.6968795407686794E-2</v>
      </c>
      <c r="E91" s="20">
        <f t="shared" si="13"/>
        <v>0.93945745135435899</v>
      </c>
      <c r="F91" s="20">
        <f t="shared" si="14"/>
        <v>3.0754157754810286E-4</v>
      </c>
      <c r="G91" s="3">
        <f t="shared" si="8"/>
        <v>-8.9457465792937757E-2</v>
      </c>
      <c r="H91" s="20">
        <f t="shared" si="9"/>
        <v>0.85116865092708716</v>
      </c>
      <c r="I91" s="20">
        <f t="shared" si="10"/>
        <v>2.2343509270871253E-3</v>
      </c>
      <c r="J91" s="20">
        <f t="shared" si="11"/>
        <v>4.9923240653750967E-6</v>
      </c>
      <c r="K91" s="21">
        <f t="shared" si="12"/>
        <v>0.26319479930156259</v>
      </c>
    </row>
    <row r="92" spans="2:11" x14ac:dyDescent="0.25">
      <c r="B92" s="4">
        <v>86</v>
      </c>
      <c r="C92" s="3">
        <v>1.0201302999999999</v>
      </c>
      <c r="D92" s="3">
        <v>0.35943238827378599</v>
      </c>
      <c r="E92" s="20">
        <f t="shared" si="13"/>
        <v>0.97908761945564216</v>
      </c>
      <c r="F92" s="20">
        <f t="shared" si="14"/>
        <v>2.1242469229446627E-3</v>
      </c>
      <c r="G92" s="3">
        <f t="shared" si="8"/>
        <v>-1.0667095901378662E-2</v>
      </c>
      <c r="H92" s="20">
        <f t="shared" si="9"/>
        <v>0.91171390484219694</v>
      </c>
      <c r="I92" s="20">
        <f t="shared" si="10"/>
        <v>0.10841639515780299</v>
      </c>
      <c r="J92" s="20">
        <f t="shared" si="11"/>
        <v>1.1754114739012889E-2</v>
      </c>
      <c r="K92" s="21">
        <f t="shared" si="12"/>
        <v>10.627700712134812</v>
      </c>
    </row>
    <row r="93" spans="2:11" x14ac:dyDescent="0.25">
      <c r="B93" s="3">
        <v>87</v>
      </c>
      <c r="C93" s="3">
        <v>0.76738620000000002</v>
      </c>
      <c r="D93" s="3">
        <v>-0.25999524411784602</v>
      </c>
      <c r="E93" s="20">
        <f t="shared" si="13"/>
        <v>0.87563083488703841</v>
      </c>
      <c r="F93" s="20">
        <f t="shared" si="14"/>
        <v>-2.7535967319648738E-3</v>
      </c>
      <c r="G93" s="3">
        <f t="shared" si="8"/>
        <v>3.0595824613875822E-2</v>
      </c>
      <c r="H93" s="20">
        <f t="shared" si="9"/>
        <v>1.0584836124387882</v>
      </c>
      <c r="I93" s="20">
        <f t="shared" si="10"/>
        <v>0.29109741243878817</v>
      </c>
      <c r="J93" s="20">
        <f t="shared" si="11"/>
        <v>8.4737703528557945E-2</v>
      </c>
      <c r="K93" s="21">
        <f t="shared" si="12"/>
        <v>37.93362617659637</v>
      </c>
    </row>
    <row r="94" spans="2:11" x14ac:dyDescent="0.25">
      <c r="B94" s="4">
        <v>88</v>
      </c>
      <c r="C94" s="3">
        <v>1.0480763</v>
      </c>
      <c r="D94" s="3">
        <v>0.43803533456274002</v>
      </c>
      <c r="E94" s="20">
        <f t="shared" si="13"/>
        <v>0.9970540509519078</v>
      </c>
      <c r="F94" s="20">
        <f t="shared" si="14"/>
        <v>2.9833720192488683E-3</v>
      </c>
      <c r="G94" s="3">
        <f t="shared" si="8"/>
        <v>-0.1122719099926968</v>
      </c>
      <c r="H94" s="20">
        <f t="shared" si="9"/>
        <v>0.70570846764037976</v>
      </c>
      <c r="I94" s="20">
        <f t="shared" si="10"/>
        <v>0.34236783235962021</v>
      </c>
      <c r="J94" s="20">
        <f t="shared" si="11"/>
        <v>0.11721573263462501</v>
      </c>
      <c r="K94" s="21">
        <f t="shared" si="12"/>
        <v>32.666308012080819</v>
      </c>
    </row>
    <row r="95" spans="2:11" x14ac:dyDescent="0.25">
      <c r="B95" s="3">
        <v>89</v>
      </c>
      <c r="C95" s="3">
        <v>1.0847640999999999</v>
      </c>
      <c r="D95" s="3">
        <v>0.54461813691622696</v>
      </c>
      <c r="E95" s="20">
        <f t="shared" si="13"/>
        <v>1.0688422547282848</v>
      </c>
      <c r="F95" s="20">
        <f t="shared" si="14"/>
        <v>6.1621552464281859E-3</v>
      </c>
      <c r="G95" s="3">
        <f t="shared" si="8"/>
        <v>-7.4557422851436947E-2</v>
      </c>
      <c r="H95" s="20">
        <f t="shared" si="9"/>
        <v>0.89506233061172247</v>
      </c>
      <c r="I95" s="20">
        <f t="shared" si="10"/>
        <v>0.18970176938827743</v>
      </c>
      <c r="J95" s="20">
        <f t="shared" si="11"/>
        <v>3.5986761309043193E-2</v>
      </c>
      <c r="K95" s="21">
        <f t="shared" si="12"/>
        <v>17.487836239075154</v>
      </c>
    </row>
    <row r="96" spans="2:11" x14ac:dyDescent="0.25">
      <c r="B96" s="4">
        <v>90</v>
      </c>
      <c r="C96" s="3">
        <v>1.1708555</v>
      </c>
      <c r="D96" s="3">
        <v>0.81062656934450295</v>
      </c>
      <c r="E96" s="20">
        <f t="shared" si="13"/>
        <v>1.0656159578351603</v>
      </c>
      <c r="F96" s="20">
        <f t="shared" si="14"/>
        <v>5.7284087575808522E-3</v>
      </c>
      <c r="G96" s="3">
        <f t="shared" si="8"/>
        <v>0.11758548149355488</v>
      </c>
      <c r="H96" s="20">
        <f t="shared" si="9"/>
        <v>1.196740396993528</v>
      </c>
      <c r="I96" s="20">
        <f t="shared" si="10"/>
        <v>2.5884896993527917E-2</v>
      </c>
      <c r="J96" s="20">
        <f t="shared" si="11"/>
        <v>6.7002789236555061E-4</v>
      </c>
      <c r="K96" s="21">
        <f t="shared" si="12"/>
        <v>2.2107678525256036</v>
      </c>
    </row>
    <row r="97" spans="2:11" x14ac:dyDescent="0.25">
      <c r="B97" s="3">
        <v>91</v>
      </c>
      <c r="C97" s="3">
        <v>1.107246</v>
      </c>
      <c r="D97" s="3">
        <v>0.61188969292652196</v>
      </c>
      <c r="E97" s="20">
        <f t="shared" si="13"/>
        <v>1.1928404638225258</v>
      </c>
      <c r="F97" s="20">
        <f t="shared" si="14"/>
        <v>1.1341528449596905E-2</v>
      </c>
      <c r="G97" s="3">
        <f t="shared" si="8"/>
        <v>-0.24536344626802647</v>
      </c>
      <c r="H97" s="20">
        <f t="shared" si="9"/>
        <v>0.77226916727382211</v>
      </c>
      <c r="I97" s="20">
        <f t="shared" si="10"/>
        <v>0.33497683272617784</v>
      </c>
      <c r="J97" s="20">
        <f t="shared" si="11"/>
        <v>0.11220947846326174</v>
      </c>
      <c r="K97" s="21">
        <f t="shared" si="12"/>
        <v>30.253153565348427</v>
      </c>
    </row>
    <row r="98" spans="2:11" x14ac:dyDescent="0.25">
      <c r="B98" s="4">
        <v>92</v>
      </c>
      <c r="C98" s="3">
        <v>1.7185979</v>
      </c>
      <c r="D98" s="3">
        <v>3.1625804076416202</v>
      </c>
      <c r="E98" s="20">
        <f t="shared" si="13"/>
        <v>1.4393603981981813</v>
      </c>
      <c r="F98" s="20">
        <f t="shared" si="14"/>
        <v>2.2206770803380807E-2</v>
      </c>
      <c r="G98" s="3">
        <f t="shared" si="8"/>
        <v>-3.0025227328462634E-2</v>
      </c>
      <c r="H98" s="20">
        <f t="shared" si="9"/>
        <v>1.0701876272510109</v>
      </c>
      <c r="I98" s="20">
        <f t="shared" si="10"/>
        <v>0.6484102727489891</v>
      </c>
      <c r="J98" s="20">
        <f t="shared" si="11"/>
        <v>0.42043588180641844</v>
      </c>
      <c r="K98" s="21">
        <f t="shared" si="12"/>
        <v>37.729027409435858</v>
      </c>
    </row>
    <row r="99" spans="2:11" x14ac:dyDescent="0.25">
      <c r="B99" s="3">
        <v>93</v>
      </c>
      <c r="C99" s="3">
        <v>1.1069751999999999</v>
      </c>
      <c r="D99" s="3">
        <v>0.61107030126406903</v>
      </c>
      <c r="E99" s="20">
        <f t="shared" si="13"/>
        <v>1.3646462957829164</v>
      </c>
      <c r="F99" s="20">
        <f t="shared" si="14"/>
        <v>1.7729026460679375E-2</v>
      </c>
      <c r="G99" s="3">
        <f t="shared" si="8"/>
        <v>-0.13021885949761569</v>
      </c>
      <c r="H99" s="20">
        <f t="shared" si="9"/>
        <v>1.374195694123644</v>
      </c>
      <c r="I99" s="20">
        <f t="shared" si="10"/>
        <v>0.26722049412364401</v>
      </c>
      <c r="J99" s="20">
        <f t="shared" si="11"/>
        <v>7.1406792479684469E-2</v>
      </c>
      <c r="K99" s="21">
        <f t="shared" si="12"/>
        <v>24.139700159826891</v>
      </c>
    </row>
    <row r="100" spans="2:11" x14ac:dyDescent="0.25">
      <c r="B100" s="4">
        <v>94</v>
      </c>
      <c r="C100" s="3">
        <v>0.89422330000000005</v>
      </c>
      <c r="D100" s="3">
        <v>3.1311929738302699E-2</v>
      </c>
      <c r="E100" s="20">
        <f t="shared" si="13"/>
        <v>1.2225903491830263</v>
      </c>
      <c r="F100" s="20">
        <f t="shared" si="14"/>
        <v>1.0346960705281068E-2</v>
      </c>
      <c r="G100" s="3">
        <f t="shared" si="8"/>
        <v>-0.11824768619075909</v>
      </c>
      <c r="H100" s="20">
        <f t="shared" si="9"/>
        <v>1.3347663743329734</v>
      </c>
      <c r="I100" s="20">
        <f t="shared" si="10"/>
        <v>0.44054307433297335</v>
      </c>
      <c r="J100" s="20">
        <f t="shared" si="11"/>
        <v>0.19407820034274767</v>
      </c>
      <c r="K100" s="21">
        <f t="shared" si="12"/>
        <v>49.265443467305467</v>
      </c>
    </row>
    <row r="101" spans="2:11" x14ac:dyDescent="0.25">
      <c r="B101" s="3">
        <v>95</v>
      </c>
      <c r="C101" s="3">
        <v>1.2082648</v>
      </c>
      <c r="D101" s="3">
        <v>0.93354695357148798</v>
      </c>
      <c r="E101" s="20">
        <f t="shared" si="13"/>
        <v>1.1245927385745409</v>
      </c>
      <c r="F101" s="20">
        <f t="shared" si="14"/>
        <v>5.3414415105850566E-3</v>
      </c>
      <c r="G101" s="3">
        <f t="shared" si="8"/>
        <v>0.22614661251787807</v>
      </c>
      <c r="H101" s="20">
        <f t="shared" si="9"/>
        <v>1.5069815667873354</v>
      </c>
      <c r="I101" s="20">
        <f t="shared" si="10"/>
        <v>0.29871676678733539</v>
      </c>
      <c r="J101" s="20">
        <f t="shared" si="11"/>
        <v>8.923170675987932E-2</v>
      </c>
      <c r="K101" s="21">
        <f t="shared" si="12"/>
        <v>24.722789804630192</v>
      </c>
    </row>
    <row r="102" spans="2:11" x14ac:dyDescent="0.25">
      <c r="B102" s="4">
        <v>96</v>
      </c>
      <c r="C102" s="3">
        <v>0.43166949999999998</v>
      </c>
      <c r="D102" s="3">
        <v>-0.87429756191199404</v>
      </c>
      <c r="E102" s="20">
        <f t="shared" si="13"/>
        <v>0.9930102497847999</v>
      </c>
      <c r="F102" s="20">
        <f t="shared" si="14"/>
        <v>-9.8444406929000701E-4</v>
      </c>
      <c r="G102" s="3">
        <f t="shared" si="8"/>
        <v>-0.38128396182767388</v>
      </c>
      <c r="H102" s="20">
        <f t="shared" si="9"/>
        <v>0.8091824040538349</v>
      </c>
      <c r="I102" s="20">
        <f t="shared" si="10"/>
        <v>0.37751290405383492</v>
      </c>
      <c r="J102" s="20">
        <f t="shared" si="11"/>
        <v>0.14251599272715998</v>
      </c>
      <c r="K102" s="21">
        <f t="shared" si="12"/>
        <v>87.454152784441547</v>
      </c>
    </row>
    <row r="103" spans="2:11" x14ac:dyDescent="0.25">
      <c r="B103" s="3">
        <v>97</v>
      </c>
      <c r="C103" s="3">
        <v>0.96141500000000002</v>
      </c>
      <c r="D103" s="3">
        <v>0.20127086371243</v>
      </c>
      <c r="E103" s="20">
        <f t="shared" si="13"/>
        <v>1.0133694893255929</v>
      </c>
      <c r="F103" s="20">
        <f t="shared" si="14"/>
        <v>1.6341134958275686E-6</v>
      </c>
      <c r="G103" s="3">
        <f t="shared" si="8"/>
        <v>-8.0021716913753774E-2</v>
      </c>
      <c r="H103" s="20">
        <f t="shared" si="9"/>
        <v>0.90256833992257213</v>
      </c>
      <c r="I103" s="20">
        <f t="shared" si="10"/>
        <v>5.8846660077427893E-2</v>
      </c>
      <c r="J103" s="20">
        <f t="shared" si="11"/>
        <v>3.4629294022683458E-3</v>
      </c>
      <c r="K103" s="21">
        <f t="shared" si="12"/>
        <v>6.1208385637240825</v>
      </c>
    </row>
    <row r="104" spans="2:11" x14ac:dyDescent="0.25">
      <c r="B104" s="4">
        <v>98</v>
      </c>
      <c r="C104" s="3">
        <v>0.80103590000000002</v>
      </c>
      <c r="D104" s="3">
        <v>-0.18627609016670599</v>
      </c>
      <c r="E104" s="20">
        <f t="shared" si="13"/>
        <v>0.94022609358116127</v>
      </c>
      <c r="F104" s="20">
        <f t="shared" si="14"/>
        <v>-3.3776662659404208E-3</v>
      </c>
      <c r="G104" s="3">
        <f t="shared" si="8"/>
        <v>-4.3003507277611958E-2</v>
      </c>
      <c r="H104" s="20">
        <f t="shared" si="9"/>
        <v>1.0027040275377102</v>
      </c>
      <c r="I104" s="20">
        <f t="shared" si="10"/>
        <v>0.20166812753771013</v>
      </c>
      <c r="J104" s="20">
        <f t="shared" si="11"/>
        <v>4.0670033664566119E-2</v>
      </c>
      <c r="K104" s="21">
        <f t="shared" si="12"/>
        <v>25.175916277623777</v>
      </c>
    </row>
    <row r="105" spans="2:11" x14ac:dyDescent="0.25">
      <c r="B105" s="3">
        <v>99</v>
      </c>
      <c r="C105" s="3">
        <v>0.90329789999999999</v>
      </c>
      <c r="D105" s="3">
        <v>5.3604303629009101E-2</v>
      </c>
      <c r="E105" s="20">
        <f t="shared" si="13"/>
        <v>0.91358254547053752</v>
      </c>
      <c r="F105" s="20">
        <f t="shared" si="14"/>
        <v>-4.4525500071647909E-3</v>
      </c>
      <c r="G105" s="3">
        <f t="shared" si="8"/>
        <v>2.0310298340637422E-2</v>
      </c>
      <c r="H105" s="20">
        <f t="shared" si="9"/>
        <v>0.96744425192909667</v>
      </c>
      <c r="I105" s="20">
        <f t="shared" si="10"/>
        <v>6.4146351929096679E-2</v>
      </c>
      <c r="J105" s="20">
        <f t="shared" si="11"/>
        <v>4.1147544658115256E-3</v>
      </c>
      <c r="K105" s="21">
        <f t="shared" si="12"/>
        <v>7.1013507204098092</v>
      </c>
    </row>
    <row r="106" spans="2:11" x14ac:dyDescent="0.25">
      <c r="B106" s="4">
        <v>100</v>
      </c>
      <c r="C106" s="3">
        <v>0.65738890000000005</v>
      </c>
      <c r="D106" s="3">
        <v>-0.48437672715512298</v>
      </c>
      <c r="E106" s="20">
        <f t="shared" si="13"/>
        <v>0.85854452189315855</v>
      </c>
      <c r="F106" s="20">
        <f t="shared" si="14"/>
        <v>-6.7895988861086855E-3</v>
      </c>
      <c r="G106" s="3">
        <f t="shared" si="8"/>
        <v>-0.13463505190685296</v>
      </c>
      <c r="H106" s="20">
        <f t="shared" si="9"/>
        <v>0.79685808547067594</v>
      </c>
      <c r="I106" s="20">
        <f t="shared" si="10"/>
        <v>0.13946918547067588</v>
      </c>
      <c r="J106" s="20">
        <f t="shared" si="11"/>
        <v>1.9451653695853787E-2</v>
      </c>
      <c r="K106" s="21">
        <f t="shared" si="12"/>
        <v>21.215628294100476</v>
      </c>
    </row>
    <row r="107" spans="2:11" x14ac:dyDescent="0.25">
      <c r="B107" s="3">
        <v>101</v>
      </c>
      <c r="C107" s="3">
        <v>0.86914979999999997</v>
      </c>
      <c r="D107" s="3">
        <v>-2.9241332392100101E-2</v>
      </c>
      <c r="E107" s="20">
        <f t="shared" si="13"/>
        <v>0.88510602216060907</v>
      </c>
      <c r="F107" s="20">
        <f t="shared" si="14"/>
        <v>-5.2487781052142505E-3</v>
      </c>
      <c r="G107" s="3">
        <f t="shared" si="8"/>
        <v>-5.9813360757624653E-2</v>
      </c>
      <c r="H107" s="20">
        <f t="shared" si="9"/>
        <v>0.77719750015561295</v>
      </c>
      <c r="I107" s="20">
        <f t="shared" si="10"/>
        <v>9.195229984438702E-2</v>
      </c>
      <c r="J107" s="20">
        <f t="shared" si="11"/>
        <v>8.4552254466720572E-3</v>
      </c>
      <c r="K107" s="21">
        <f t="shared" si="12"/>
        <v>10.579568659440183</v>
      </c>
    </row>
    <row r="108" spans="2:11" x14ac:dyDescent="0.25">
      <c r="B108" s="4">
        <v>102</v>
      </c>
      <c r="C108" s="3">
        <v>1.1078174999999999</v>
      </c>
      <c r="D108" s="3">
        <v>0.61361935911559495</v>
      </c>
      <c r="E108" s="20">
        <f t="shared" si="13"/>
        <v>0.91989017474879065</v>
      </c>
      <c r="F108" s="20">
        <f t="shared" si="14"/>
        <v>-3.3992567071793639E-3</v>
      </c>
      <c r="G108" s="3">
        <f t="shared" si="8"/>
        <v>0.13528348938298071</v>
      </c>
      <c r="H108" s="20">
        <f t="shared" si="9"/>
        <v>0.99744272554894964</v>
      </c>
      <c r="I108" s="20">
        <f t="shared" si="10"/>
        <v>0.11037477445105026</v>
      </c>
      <c r="J108" s="20">
        <f t="shared" si="11"/>
        <v>1.2182590835120218E-2</v>
      </c>
      <c r="K108" s="21">
        <f t="shared" si="12"/>
        <v>9.9632633038429415</v>
      </c>
    </row>
    <row r="109" spans="2:11" x14ac:dyDescent="0.25">
      <c r="B109" s="3">
        <v>103</v>
      </c>
      <c r="C109" s="3">
        <v>0.74208819999999998</v>
      </c>
      <c r="D109" s="3">
        <v>-0.313806925744888</v>
      </c>
      <c r="E109" s="20">
        <f t="shared" si="13"/>
        <v>0.94222837416933203</v>
      </c>
      <c r="F109" s="20">
        <f t="shared" si="14"/>
        <v>-2.2101862340786656E-3</v>
      </c>
      <c r="G109" s="3">
        <f t="shared" si="8"/>
        <v>-0.23398527100799493</v>
      </c>
      <c r="H109" s="20">
        <f t="shared" si="9"/>
        <v>0.67112747177358489</v>
      </c>
      <c r="I109" s="20">
        <f t="shared" si="10"/>
        <v>7.0960728226415082E-2</v>
      </c>
      <c r="J109" s="20">
        <f t="shared" si="11"/>
        <v>5.0354249504231422E-3</v>
      </c>
      <c r="K109" s="21">
        <f t="shared" si="12"/>
        <v>9.5623038105733382</v>
      </c>
    </row>
    <row r="110" spans="2:11" x14ac:dyDescent="0.25">
      <c r="B110" s="4">
        <v>104</v>
      </c>
      <c r="C110" s="3">
        <v>0.76571350000000005</v>
      </c>
      <c r="D110" s="3">
        <v>-0.26359551596856201</v>
      </c>
      <c r="E110" s="20">
        <f t="shared" si="13"/>
        <v>0.88768802757317045</v>
      </c>
      <c r="F110" s="20">
        <f t="shared" si="14"/>
        <v>-4.6278396428068962E-3</v>
      </c>
      <c r="G110" s="3">
        <f t="shared" si="8"/>
        <v>-5.31596712700311E-2</v>
      </c>
      <c r="H110" s="20">
        <f t="shared" si="9"/>
        <v>0.90999296060679069</v>
      </c>
      <c r="I110" s="20">
        <f t="shared" si="10"/>
        <v>0.14427946060679064</v>
      </c>
      <c r="J110" s="20">
        <f t="shared" si="11"/>
        <v>2.0816562752986455E-2</v>
      </c>
      <c r="K110" s="21">
        <f t="shared" si="12"/>
        <v>18.842486204930516</v>
      </c>
    </row>
    <row r="111" spans="2:11" x14ac:dyDescent="0.25">
      <c r="B111" s="3">
        <v>105</v>
      </c>
      <c r="C111" s="3">
        <v>0.82924799999999999</v>
      </c>
      <c r="D111" s="3">
        <v>-0.122528802695672</v>
      </c>
      <c r="E111" s="20">
        <f t="shared" si="13"/>
        <v>0.91077288770780596</v>
      </c>
      <c r="F111" s="20">
        <f t="shared" si="14"/>
        <v>-3.347512913089057E-3</v>
      </c>
      <c r="G111" s="3">
        <f t="shared" si="8"/>
        <v>-0.11796745619529957</v>
      </c>
      <c r="H111" s="20">
        <f t="shared" si="9"/>
        <v>0.75284132843274787</v>
      </c>
      <c r="I111" s="20">
        <f t="shared" si="10"/>
        <v>7.6406671567252116E-2</v>
      </c>
      <c r="J111" s="20">
        <f t="shared" si="11"/>
        <v>5.8379794599859331E-3</v>
      </c>
      <c r="K111" s="21">
        <f t="shared" si="12"/>
        <v>9.2139711602864427</v>
      </c>
    </row>
    <row r="112" spans="2:11" x14ac:dyDescent="0.25">
      <c r="B112" s="4">
        <v>106</v>
      </c>
      <c r="C112" s="3">
        <v>0.85895750000000004</v>
      </c>
      <c r="D112" s="3">
        <v>-5.3425373936031702E-2</v>
      </c>
      <c r="E112" s="20">
        <f t="shared" si="13"/>
        <v>0.93273451238806149</v>
      </c>
      <c r="F112" s="20">
        <f t="shared" si="14"/>
        <v>-2.1782307562765368E-3</v>
      </c>
      <c r="G112" s="3">
        <f t="shared" si="8"/>
        <v>-0.10705886466200036</v>
      </c>
      <c r="H112" s="20">
        <f t="shared" si="9"/>
        <v>0.78917768860395776</v>
      </c>
      <c r="I112" s="20">
        <f t="shared" si="10"/>
        <v>6.9779811396042279E-2</v>
      </c>
      <c r="J112" s="20">
        <f t="shared" si="11"/>
        <v>4.8692220784672322E-3</v>
      </c>
      <c r="K112" s="21">
        <f t="shared" si="12"/>
        <v>8.1237792784907619</v>
      </c>
    </row>
    <row r="113" spans="2:11" x14ac:dyDescent="0.25">
      <c r="B113" s="3">
        <v>107</v>
      </c>
      <c r="C113" s="3">
        <v>1.3070767999999999</v>
      </c>
      <c r="D113" s="3">
        <v>1.28123184432881</v>
      </c>
      <c r="E113" s="20">
        <f t="shared" si="13"/>
        <v>0.9850968972837022</v>
      </c>
      <c r="F113" s="20">
        <f t="shared" si="14"/>
        <v>3.415456868420398E-4</v>
      </c>
      <c r="G113" s="3">
        <f t="shared" si="8"/>
        <v>0.25025826833180043</v>
      </c>
      <c r="H113" s="20">
        <f t="shared" si="9"/>
        <v>1.1567028941496631</v>
      </c>
      <c r="I113" s="20">
        <f t="shared" si="10"/>
        <v>0.15037390585033683</v>
      </c>
      <c r="J113" s="20">
        <f t="shared" si="11"/>
        <v>2.2612311560685966E-2</v>
      </c>
      <c r="K113" s="21">
        <f t="shared" si="12"/>
        <v>11.504596045950539</v>
      </c>
    </row>
    <row r="114" spans="2:11" x14ac:dyDescent="0.25">
      <c r="B114" s="4">
        <v>108</v>
      </c>
      <c r="C114" s="3">
        <v>0.63703960000000004</v>
      </c>
      <c r="D114" s="3">
        <v>-0.52324879373084399</v>
      </c>
      <c r="E114" s="20">
        <f t="shared" si="13"/>
        <v>0.99736587558002521</v>
      </c>
      <c r="F114" s="20">
        <f t="shared" si="14"/>
        <v>8.9259307340006045E-4</v>
      </c>
      <c r="G114" s="3">
        <f t="shared" si="8"/>
        <v>-0.37601100796776543</v>
      </c>
      <c r="H114" s="20">
        <f t="shared" si="9"/>
        <v>0.6041544811428704</v>
      </c>
      <c r="I114" s="20">
        <f t="shared" si="10"/>
        <v>3.2885118857129636E-2</v>
      </c>
      <c r="J114" s="20">
        <f t="shared" si="11"/>
        <v>1.0814310422475432E-3</v>
      </c>
      <c r="K114" s="21">
        <f t="shared" si="12"/>
        <v>5.1621781216002329</v>
      </c>
    </row>
    <row r="115" spans="2:11" x14ac:dyDescent="0.25">
      <c r="B115" s="3">
        <v>109</v>
      </c>
      <c r="C115" s="3">
        <v>0.82878189999999996</v>
      </c>
      <c r="D115" s="3">
        <v>-0.123596848485736</v>
      </c>
      <c r="E115" s="20">
        <f t="shared" si="13"/>
        <v>0.96581319392744636</v>
      </c>
      <c r="F115" s="20">
        <f t="shared" si="14"/>
        <v>-6.0637861894016515E-4</v>
      </c>
      <c r="G115" s="3">
        <f t="shared" si="8"/>
        <v>-9.4365326490398832E-2</v>
      </c>
      <c r="H115" s="20">
        <f t="shared" si="9"/>
        <v>0.91823675173967145</v>
      </c>
      <c r="I115" s="20">
        <f t="shared" si="10"/>
        <v>8.9454851739671493E-2</v>
      </c>
      <c r="J115" s="20">
        <f t="shared" si="11"/>
        <v>8.0021704997666077E-3</v>
      </c>
      <c r="K115" s="21">
        <f t="shared" si="12"/>
        <v>10.793533466364492</v>
      </c>
    </row>
    <row r="116" spans="2:11" x14ac:dyDescent="0.25">
      <c r="B116" s="4">
        <v>110</v>
      </c>
      <c r="C116" s="3">
        <v>0.97343729999999995</v>
      </c>
      <c r="D116" s="3">
        <v>0.232903788675769</v>
      </c>
      <c r="E116" s="20">
        <f t="shared" si="13"/>
        <v>0.98378938419570083</v>
      </c>
      <c r="F116" s="20">
        <f t="shared" si="14"/>
        <v>2.5213606364822723E-4</v>
      </c>
      <c r="G116" s="3">
        <f t="shared" si="8"/>
        <v>-3.4788409230203134E-2</v>
      </c>
      <c r="H116" s="20">
        <f t="shared" si="9"/>
        <v>0.92220330803089423</v>
      </c>
      <c r="I116" s="20">
        <f t="shared" si="10"/>
        <v>5.1233991969105719E-2</v>
      </c>
      <c r="J116" s="20">
        <f t="shared" si="11"/>
        <v>2.6249219330903894E-3</v>
      </c>
      <c r="K116" s="21">
        <f t="shared" si="12"/>
        <v>5.2632041086884307</v>
      </c>
    </row>
    <row r="117" spans="2:11" x14ac:dyDescent="0.25">
      <c r="B117" s="3">
        <v>111</v>
      </c>
      <c r="C117" s="3">
        <v>0.69242409999999999</v>
      </c>
      <c r="D117" s="3">
        <v>-0.41556926245626602</v>
      </c>
      <c r="E117" s="20">
        <f t="shared" si="13"/>
        <v>0.87090533672313397</v>
      </c>
      <c r="F117" s="20">
        <f t="shared" si="14"/>
        <v>-4.9747556157249103E-3</v>
      </c>
      <c r="G117" s="3">
        <f t="shared" si="8"/>
        <v>-2.970565188140746E-2</v>
      </c>
      <c r="H117" s="20">
        <f t="shared" si="9"/>
        <v>1.0043518185999865</v>
      </c>
      <c r="I117" s="20">
        <f t="shared" si="10"/>
        <v>0.31192771859998647</v>
      </c>
      <c r="J117" s="20">
        <f t="shared" si="11"/>
        <v>9.7298901630992349E-2</v>
      </c>
      <c r="K117" s="21">
        <f t="shared" si="12"/>
        <v>45.048651339545586</v>
      </c>
    </row>
    <row r="118" spans="2:11" x14ac:dyDescent="0.25">
      <c r="B118" s="4">
        <v>112</v>
      </c>
      <c r="C118" s="3">
        <v>0.9955463</v>
      </c>
      <c r="D118" s="3">
        <v>0.29207848059781</v>
      </c>
      <c r="E118" s="20">
        <f t="shared" si="13"/>
        <v>0.96177433567636728</v>
      </c>
      <c r="F118" s="20">
        <f t="shared" si="14"/>
        <v>-5.4677415463904103E-4</v>
      </c>
      <c r="G118" s="3">
        <f t="shared" si="8"/>
        <v>-9.2263846623262757E-2</v>
      </c>
      <c r="H118" s="20">
        <f t="shared" si="9"/>
        <v>0.73129552920055607</v>
      </c>
      <c r="I118" s="20">
        <f t="shared" si="10"/>
        <v>0.26425077079944392</v>
      </c>
      <c r="J118" s="20">
        <f t="shared" si="11"/>
        <v>6.9828469868100249E-2</v>
      </c>
      <c r="K118" s="21">
        <f t="shared" si="12"/>
        <v>26.543292943727874</v>
      </c>
    </row>
    <row r="119" spans="2:11" x14ac:dyDescent="0.25">
      <c r="B119" s="3">
        <v>113</v>
      </c>
      <c r="C119" s="3">
        <v>0.89124479999999995</v>
      </c>
      <c r="D119" s="3">
        <v>2.4039058909624399E-2</v>
      </c>
      <c r="E119" s="20">
        <f t="shared" si="13"/>
        <v>0.95753911986458795</v>
      </c>
      <c r="F119" s="20">
        <f t="shared" si="14"/>
        <v>-7.1718015919892215E-4</v>
      </c>
      <c r="G119" s="3">
        <f t="shared" si="8"/>
        <v>-6.1443970068936635E-2</v>
      </c>
      <c r="H119" s="20">
        <f t="shared" si="9"/>
        <v>0.90141420076410361</v>
      </c>
      <c r="I119" s="20">
        <f t="shared" si="10"/>
        <v>1.0169400764103664E-2</v>
      </c>
      <c r="J119" s="20">
        <f t="shared" si="11"/>
        <v>1.034167119009522E-4</v>
      </c>
      <c r="K119" s="21">
        <f t="shared" si="12"/>
        <v>1.1410333910619916</v>
      </c>
    </row>
    <row r="120" spans="2:11" x14ac:dyDescent="0.25">
      <c r="B120" s="4">
        <v>114</v>
      </c>
      <c r="C120" s="3">
        <v>1.1423714</v>
      </c>
      <c r="D120" s="3">
        <v>0.72006824287332905</v>
      </c>
      <c r="E120" s="20">
        <f t="shared" si="13"/>
        <v>0.97505340735503743</v>
      </c>
      <c r="F120" s="20">
        <f t="shared" si="14"/>
        <v>1.2511364621483386E-4</v>
      </c>
      <c r="G120" s="3">
        <f t="shared" si="8"/>
        <v>0.14334337040369535</v>
      </c>
      <c r="H120" s="20">
        <f t="shared" si="9"/>
        <v>1.0921054290883696</v>
      </c>
      <c r="I120" s="20">
        <f t="shared" si="10"/>
        <v>5.0265970911630431E-2</v>
      </c>
      <c r="J120" s="20">
        <f t="shared" si="11"/>
        <v>2.5266678316888764E-3</v>
      </c>
      <c r="K120" s="21">
        <f t="shared" si="12"/>
        <v>4.4001426253870175</v>
      </c>
    </row>
    <row r="121" spans="2:11" x14ac:dyDescent="0.25">
      <c r="B121" s="3">
        <v>115</v>
      </c>
      <c r="C121" s="3">
        <v>0.79635719999999999</v>
      </c>
      <c r="D121" s="3">
        <v>-0.19667533261881301</v>
      </c>
      <c r="E121" s="20">
        <f t="shared" si="13"/>
        <v>0.99518648566869783</v>
      </c>
      <c r="F121" s="20">
        <f t="shared" si="14"/>
        <v>1.049481613850819E-3</v>
      </c>
      <c r="G121" s="3">
        <f t="shared" si="8"/>
        <v>-0.22514002509662778</v>
      </c>
      <c r="H121" s="20">
        <f t="shared" si="9"/>
        <v>0.74119324999325731</v>
      </c>
      <c r="I121" s="20">
        <f t="shared" si="10"/>
        <v>5.5163950006742679E-2</v>
      </c>
      <c r="J121" s="20">
        <f t="shared" si="11"/>
        <v>3.0430613803464055E-3</v>
      </c>
      <c r="K121" s="21">
        <f t="shared" si="12"/>
        <v>6.9270360093112338</v>
      </c>
    </row>
    <row r="122" spans="2:11" x14ac:dyDescent="0.25">
      <c r="B122" s="4">
        <v>116</v>
      </c>
      <c r="C122" s="3">
        <v>0.82274809999999998</v>
      </c>
      <c r="D122" s="3">
        <v>-0.1373758195301</v>
      </c>
      <c r="E122" s="20">
        <f t="shared" si="13"/>
        <v>0.95259293058880856</v>
      </c>
      <c r="F122" s="20">
        <f t="shared" si="14"/>
        <v>-9.6682668139997274E-4</v>
      </c>
      <c r="G122" s="3">
        <f t="shared" si="8"/>
        <v>-7.245365735463552E-2</v>
      </c>
      <c r="H122" s="20">
        <f t="shared" si="9"/>
        <v>0.94307629601251752</v>
      </c>
      <c r="I122" s="20">
        <f t="shared" si="10"/>
        <v>0.12032819601251754</v>
      </c>
      <c r="J122" s="20">
        <f t="shared" si="11"/>
        <v>1.4478874755626842E-2</v>
      </c>
      <c r="K122" s="21">
        <f t="shared" si="12"/>
        <v>14.625156352535793</v>
      </c>
    </row>
    <row r="123" spans="2:11" x14ac:dyDescent="0.25">
      <c r="B123" s="3">
        <v>117</v>
      </c>
      <c r="C123" s="3">
        <v>0.9839871</v>
      </c>
      <c r="D123" s="3">
        <v>0.26097719003994102</v>
      </c>
      <c r="E123" s="20">
        <f t="shared" si="13"/>
        <v>1.0061502335522265</v>
      </c>
      <c r="F123" s="20">
        <f t="shared" si="14"/>
        <v>1.5521881081906168E-3</v>
      </c>
      <c r="G123" s="3">
        <f t="shared" si="8"/>
        <v>-9.3863088618302393E-2</v>
      </c>
      <c r="H123" s="20">
        <f t="shared" si="9"/>
        <v>0.83365864771210896</v>
      </c>
      <c r="I123" s="20">
        <f t="shared" si="10"/>
        <v>0.15032845228789105</v>
      </c>
      <c r="J123" s="20">
        <f t="shared" si="11"/>
        <v>2.2598643567272734E-2</v>
      </c>
      <c r="K123" s="21">
        <f t="shared" si="12"/>
        <v>15.277482020637368</v>
      </c>
    </row>
    <row r="124" spans="2:11" x14ac:dyDescent="0.25">
      <c r="B124" s="4">
        <v>118</v>
      </c>
      <c r="C124" s="3">
        <v>0.70030740000000002</v>
      </c>
      <c r="D124" s="3">
        <v>-0.39975189691026197</v>
      </c>
      <c r="E124" s="20">
        <f t="shared" si="13"/>
        <v>0.9350404975170914</v>
      </c>
      <c r="F124" s="20">
        <f t="shared" si="14"/>
        <v>-1.8047927872310338E-3</v>
      </c>
      <c r="G124" s="3">
        <f t="shared" si="8"/>
        <v>-0.13918170164834126</v>
      </c>
      <c r="H124" s="20">
        <f t="shared" si="9"/>
        <v>0.90064355699841681</v>
      </c>
      <c r="I124" s="20">
        <f t="shared" si="10"/>
        <v>0.20033615699841678</v>
      </c>
      <c r="J124" s="20">
        <f t="shared" si="11"/>
        <v>4.0134575800894294E-2</v>
      </c>
      <c r="K124" s="21">
        <f t="shared" si="12"/>
        <v>28.606888489028787</v>
      </c>
    </row>
    <row r="125" spans="2:11" x14ac:dyDescent="0.25">
      <c r="B125" s="3">
        <v>119</v>
      </c>
      <c r="C125" s="3">
        <v>1.5329537</v>
      </c>
      <c r="D125" s="3">
        <v>2.2177141568608301</v>
      </c>
      <c r="E125" s="20">
        <f t="shared" si="13"/>
        <v>1.0599847476903961</v>
      </c>
      <c r="F125" s="20">
        <f t="shared" si="14"/>
        <v>4.0510129975457158E-3</v>
      </c>
      <c r="G125" s="3">
        <f t="shared" si="8"/>
        <v>0.30629227642061574</v>
      </c>
      <c r="H125" s="20">
        <f t="shared" si="9"/>
        <v>1.1834939730616609</v>
      </c>
      <c r="I125" s="20">
        <f t="shared" si="10"/>
        <v>0.34945972693833904</v>
      </c>
      <c r="J125" s="20">
        <f t="shared" si="11"/>
        <v>0.12212210075181849</v>
      </c>
      <c r="K125" s="21">
        <f t="shared" si="12"/>
        <v>22.796495871880477</v>
      </c>
    </row>
    <row r="126" spans="2:11" x14ac:dyDescent="0.25">
      <c r="B126" s="4">
        <v>120</v>
      </c>
      <c r="C126" s="3">
        <v>0.49535430000000003</v>
      </c>
      <c r="D126" s="3">
        <v>-0.77304417692133498</v>
      </c>
      <c r="E126" s="20">
        <f t="shared" si="13"/>
        <v>0.99415418748633377</v>
      </c>
      <c r="F126" s="20">
        <f t="shared" si="14"/>
        <v>8.2248431563142514E-4</v>
      </c>
      <c r="G126" s="3">
        <f t="shared" si="8"/>
        <v>-0.40690469005463714</v>
      </c>
      <c r="H126" s="20">
        <f t="shared" si="9"/>
        <v>0.68802475272017638</v>
      </c>
      <c r="I126" s="20">
        <f t="shared" si="10"/>
        <v>0.19267045272017636</v>
      </c>
      <c r="J126" s="20">
        <f t="shared" si="11"/>
        <v>3.7121903351397714E-2</v>
      </c>
      <c r="K126" s="21">
        <f t="shared" si="12"/>
        <v>38.895484044486203</v>
      </c>
    </row>
    <row r="127" spans="2:11" x14ac:dyDescent="0.25">
      <c r="B127" s="3">
        <v>121</v>
      </c>
      <c r="C127" s="3">
        <v>0.912582</v>
      </c>
      <c r="D127" s="3">
        <v>7.6621728321520602E-2</v>
      </c>
      <c r="E127" s="20">
        <f t="shared" si="13"/>
        <v>0.99931842825746009</v>
      </c>
      <c r="F127" s="20">
        <f t="shared" si="14"/>
        <v>1.0230734638752891E-3</v>
      </c>
      <c r="G127" s="3">
        <f t="shared" si="8"/>
        <v>-9.2445895694991426E-2</v>
      </c>
      <c r="H127" s="20">
        <f t="shared" si="9"/>
        <v>0.90061134531156639</v>
      </c>
      <c r="I127" s="20">
        <f t="shared" si="10"/>
        <v>1.1970654688433613E-2</v>
      </c>
      <c r="J127" s="20">
        <f t="shared" si="11"/>
        <v>1.4329657366971764E-4</v>
      </c>
      <c r="K127" s="21">
        <f t="shared" si="12"/>
        <v>1.3117346921628537</v>
      </c>
    </row>
    <row r="128" spans="2:11" x14ac:dyDescent="0.25">
      <c r="B128" s="4">
        <v>122</v>
      </c>
      <c r="C128" s="3">
        <v>0.97160519999999995</v>
      </c>
      <c r="D128" s="3">
        <v>0.22805860258279301</v>
      </c>
      <c r="E128" s="20">
        <f t="shared" si="13"/>
        <v>1.0025366011148016</v>
      </c>
      <c r="F128" s="20">
        <f t="shared" si="14"/>
        <v>1.1244870558534278E-3</v>
      </c>
      <c r="G128" s="3">
        <f t="shared" si="8"/>
        <v>-3.3817985988368118E-2</v>
      </c>
      <c r="H128" s="20">
        <f t="shared" si="9"/>
        <v>0.96555309249113219</v>
      </c>
      <c r="I128" s="20">
        <f t="shared" si="10"/>
        <v>6.0521075088677545E-3</v>
      </c>
      <c r="J128" s="20">
        <f t="shared" si="11"/>
        <v>3.6628005298893454E-5</v>
      </c>
      <c r="K128" s="21">
        <f t="shared" si="12"/>
        <v>0.62289780961112129</v>
      </c>
    </row>
    <row r="129" spans="2:11" x14ac:dyDescent="0.25">
      <c r="B129" s="3">
        <v>123</v>
      </c>
      <c r="C129" s="3">
        <v>0.9826454</v>
      </c>
      <c r="D129" s="3">
        <v>0.25739030848724098</v>
      </c>
      <c r="E129" s="20">
        <f t="shared" si="13"/>
        <v>1.0068129380085449</v>
      </c>
      <c r="F129" s="20">
        <f t="shared" si="14"/>
        <v>1.2701025183639394E-3</v>
      </c>
      <c r="G129" s="3">
        <f t="shared" si="8"/>
        <v>-2.8312262430995234E-2</v>
      </c>
      <c r="H129" s="20">
        <f t="shared" si="9"/>
        <v>0.97395543628924741</v>
      </c>
      <c r="I129" s="20">
        <f t="shared" si="10"/>
        <v>8.6899637107525907E-3</v>
      </c>
      <c r="J129" s="20">
        <f t="shared" si="11"/>
        <v>7.5515469294196939E-5</v>
      </c>
      <c r="K129" s="21">
        <f t="shared" si="12"/>
        <v>0.8843438040571493</v>
      </c>
    </row>
    <row r="130" spans="2:11" x14ac:dyDescent="0.25">
      <c r="B130" s="4">
        <v>124</v>
      </c>
      <c r="C130" s="3">
        <v>0.78014720000000004</v>
      </c>
      <c r="D130" s="3">
        <v>-0.23233033044880799</v>
      </c>
      <c r="E130" s="20">
        <f t="shared" si="13"/>
        <v>0.95887480833805638</v>
      </c>
      <c r="F130" s="20">
        <f t="shared" si="14"/>
        <v>-1.003317808761043E-3</v>
      </c>
      <c r="G130" s="3">
        <f t="shared" si="8"/>
        <v>-0.11401812907070483</v>
      </c>
      <c r="H130" s="20">
        <f t="shared" si="9"/>
        <v>0.91581919390364597</v>
      </c>
      <c r="I130" s="20">
        <f t="shared" si="10"/>
        <v>0.13567199390364593</v>
      </c>
      <c r="J130" s="20">
        <f t="shared" si="11"/>
        <v>1.8406889929790938E-2</v>
      </c>
      <c r="K130" s="21">
        <f t="shared" si="12"/>
        <v>17.390563460798926</v>
      </c>
    </row>
    <row r="131" spans="2:11" x14ac:dyDescent="0.25">
      <c r="B131" s="3">
        <v>125</v>
      </c>
      <c r="C131" s="3">
        <v>0.95477069999999997</v>
      </c>
      <c r="D131" s="3">
        <v>0.183950966780146</v>
      </c>
      <c r="E131" s="20">
        <f t="shared" si="13"/>
        <v>0.97903256174832309</v>
      </c>
      <c r="F131" s="20">
        <f t="shared" si="14"/>
        <v>-2.5676318441960819E-5</v>
      </c>
      <c r="G131" s="3">
        <f t="shared" si="8"/>
        <v>-5.2088951615470273E-2</v>
      </c>
      <c r="H131" s="20">
        <f t="shared" si="9"/>
        <v>0.89642752046035867</v>
      </c>
      <c r="I131" s="20">
        <f t="shared" si="10"/>
        <v>5.8343179539641299E-2</v>
      </c>
      <c r="J131" s="20">
        <f t="shared" si="11"/>
        <v>3.4039265987948191E-3</v>
      </c>
      <c r="K131" s="21">
        <f t="shared" si="12"/>
        <v>6.1107006676724893</v>
      </c>
    </row>
    <row r="132" spans="2:11" x14ac:dyDescent="0.25">
      <c r="B132" s="4">
        <v>126</v>
      </c>
      <c r="C132" s="3">
        <v>1.1117946000000001</v>
      </c>
      <c r="D132" s="3">
        <v>0.62568488619170004</v>
      </c>
      <c r="E132" s="20">
        <f t="shared" si="13"/>
        <v>0.97517834905904288</v>
      </c>
      <c r="F132" s="20">
        <f t="shared" si="14"/>
        <v>-2.0255469877468801E-4</v>
      </c>
      <c r="G132" s="3">
        <f t="shared" si="8"/>
        <v>0.14165082714687044</v>
      </c>
      <c r="H132" s="20">
        <f t="shared" si="9"/>
        <v>1.1223502558335765</v>
      </c>
      <c r="I132" s="20">
        <f t="shared" si="10"/>
        <v>1.0555655833576427E-2</v>
      </c>
      <c r="J132" s="20">
        <f t="shared" si="11"/>
        <v>1.1142187007691606E-4</v>
      </c>
      <c r="K132" s="21">
        <f t="shared" si="12"/>
        <v>0.94942499573000494</v>
      </c>
    </row>
    <row r="133" spans="2:11" x14ac:dyDescent="0.25">
      <c r="B133" s="3">
        <v>127</v>
      </c>
      <c r="C133" s="3">
        <v>0.89367509999999994</v>
      </c>
      <c r="D133" s="3">
        <v>2.9971789732134001E-2</v>
      </c>
      <c r="E133" s="20">
        <f t="shared" si="13"/>
        <v>1.0271463196183459</v>
      </c>
      <c r="F133" s="20">
        <f t="shared" si="14"/>
        <v>2.2077235681485022E-3</v>
      </c>
      <c r="G133" s="3">
        <f t="shared" si="8"/>
        <v>-0.20207615363829207</v>
      </c>
      <c r="H133" s="20">
        <f t="shared" si="9"/>
        <v>0.74983576926364037</v>
      </c>
      <c r="I133" s="20">
        <f t="shared" si="10"/>
        <v>0.14383933073635957</v>
      </c>
      <c r="J133" s="20">
        <f t="shared" si="11"/>
        <v>2.0689753066683834E-2</v>
      </c>
      <c r="K133" s="21">
        <f t="shared" si="12"/>
        <v>16.095259981659954</v>
      </c>
    </row>
    <row r="134" spans="2:11" x14ac:dyDescent="0.25">
      <c r="B134" s="4">
        <v>128</v>
      </c>
      <c r="C134" s="3">
        <v>1.1523606</v>
      </c>
      <c r="D134" s="3">
        <v>0.75153331508200705</v>
      </c>
      <c r="E134" s="20">
        <f t="shared" si="13"/>
        <v>1.1002474628652792</v>
      </c>
      <c r="F134" s="20">
        <f t="shared" si="14"/>
        <v>5.4829995573083589E-3</v>
      </c>
      <c r="G134" s="3">
        <f t="shared" si="8"/>
        <v>-4.1112651861113472E-2</v>
      </c>
      <c r="H134" s="20">
        <f t="shared" si="9"/>
        <v>0.95690038583185899</v>
      </c>
      <c r="I134" s="20">
        <f t="shared" si="10"/>
        <v>0.19546021416814097</v>
      </c>
      <c r="J134" s="20">
        <f t="shared" si="11"/>
        <v>3.8204695322655538E-2</v>
      </c>
      <c r="K134" s="21">
        <f t="shared" si="12"/>
        <v>16.961723107171572</v>
      </c>
    </row>
    <row r="135" spans="2:11" x14ac:dyDescent="0.25">
      <c r="B135" s="3">
        <v>129</v>
      </c>
      <c r="C135" s="3">
        <v>0.90874770000000005</v>
      </c>
      <c r="D135" s="3">
        <v>6.7089541717939793E-2</v>
      </c>
      <c r="E135" s="20">
        <f t="shared" si="13"/>
        <v>1.0683289567337735</v>
      </c>
      <c r="F135" s="20">
        <f t="shared" si="14"/>
        <v>3.7550499944851491E-3</v>
      </c>
      <c r="G135" s="3">
        <f t="shared" si="8"/>
        <v>-0.1103977797161549</v>
      </c>
      <c r="H135" s="20">
        <f t="shared" si="9"/>
        <v>1.0118673738042854</v>
      </c>
      <c r="I135" s="20">
        <f t="shared" si="10"/>
        <v>0.10311967380428533</v>
      </c>
      <c r="J135" s="20">
        <f t="shared" si="11"/>
        <v>1.063366712550221E-2</v>
      </c>
      <c r="K135" s="21">
        <f t="shared" si="12"/>
        <v>11.34744812056034</v>
      </c>
    </row>
    <row r="136" spans="2:11" x14ac:dyDescent="0.25">
      <c r="B136" s="4">
        <v>130</v>
      </c>
      <c r="C136" s="3">
        <v>0.93674619999999997</v>
      </c>
      <c r="D136" s="3">
        <v>0.13754162391590499</v>
      </c>
      <c r="E136" s="20">
        <f t="shared" si="13"/>
        <v>1.0734781874157726</v>
      </c>
      <c r="F136" s="20">
        <f t="shared" si="14"/>
        <v>3.8194611422482944E-3</v>
      </c>
      <c r="G136" s="3">
        <f t="shared" si="8"/>
        <v>-0.13856535354742699</v>
      </c>
      <c r="H136" s="20">
        <f t="shared" si="9"/>
        <v>0.93290230507991745</v>
      </c>
      <c r="I136" s="20">
        <f t="shared" si="10"/>
        <v>3.8438949200825245E-3</v>
      </c>
      <c r="J136" s="20">
        <f t="shared" si="11"/>
        <v>1.4775528156636237E-5</v>
      </c>
      <c r="K136" s="21">
        <f t="shared" si="12"/>
        <v>0.41034539772699635</v>
      </c>
    </row>
    <row r="137" spans="2:11" x14ac:dyDescent="0.25">
      <c r="B137" s="3">
        <v>131</v>
      </c>
      <c r="C137" s="3">
        <v>1.5275261</v>
      </c>
      <c r="D137" s="3">
        <v>2.1926422552745799</v>
      </c>
      <c r="E137" s="20">
        <f t="shared" si="13"/>
        <v>1.1295032992382694</v>
      </c>
      <c r="F137" s="20">
        <f t="shared" si="14"/>
        <v>6.2313622036757757E-3</v>
      </c>
      <c r="G137" s="3">
        <f t="shared" si="8"/>
        <v>0.32937167634484021</v>
      </c>
      <c r="H137" s="20">
        <f t="shared" si="9"/>
        <v>1.3835899249786368</v>
      </c>
      <c r="I137" s="20">
        <f t="shared" si="10"/>
        <v>0.14393617502136324</v>
      </c>
      <c r="J137" s="20">
        <f t="shared" si="11"/>
        <v>2.0717622479780512E-2</v>
      </c>
      <c r="K137" s="21">
        <f t="shared" si="12"/>
        <v>9.4228291759704312</v>
      </c>
    </row>
    <row r="138" spans="2:11" x14ac:dyDescent="0.25">
      <c r="B138" s="4">
        <v>132</v>
      </c>
      <c r="C138" s="3">
        <v>0.51646259999999999</v>
      </c>
      <c r="D138" s="3">
        <v>-0.73803549074651698</v>
      </c>
      <c r="E138" s="20">
        <f t="shared" si="13"/>
        <v>1.0587090158397685</v>
      </c>
      <c r="F138" s="20">
        <f t="shared" si="14"/>
        <v>2.6727773768552127E-3</v>
      </c>
      <c r="G138" s="3">
        <f t="shared" si="8"/>
        <v>-0.44095666826217617</v>
      </c>
      <c r="H138" s="20">
        <f t="shared" si="9"/>
        <v>0.7288299713873081</v>
      </c>
      <c r="I138" s="20">
        <f t="shared" si="10"/>
        <v>0.2123673713873081</v>
      </c>
      <c r="J138" s="20">
        <f t="shared" si="11"/>
        <v>4.5099900429954848E-2</v>
      </c>
      <c r="K138" s="21">
        <f t="shared" si="12"/>
        <v>41.119603120789016</v>
      </c>
    </row>
    <row r="139" spans="2:11" x14ac:dyDescent="0.25">
      <c r="B139" s="3">
        <v>133</v>
      </c>
      <c r="C139" s="3">
        <v>0.79135650000000002</v>
      </c>
      <c r="D139" s="3">
        <v>-0.20773637432679301</v>
      </c>
      <c r="E139" s="20">
        <f t="shared" si="13"/>
        <v>0.99697374573552766</v>
      </c>
      <c r="F139" s="20">
        <f t="shared" si="14"/>
        <v>-3.0287441677142495E-4</v>
      </c>
      <c r="G139" s="3">
        <f t="shared" si="8"/>
        <v>-0.12091980736519033</v>
      </c>
      <c r="H139" s="20">
        <f t="shared" si="9"/>
        <v>0.96893589752163223</v>
      </c>
      <c r="I139" s="20">
        <f t="shared" si="10"/>
        <v>0.17757939752163221</v>
      </c>
      <c r="J139" s="20">
        <f t="shared" si="11"/>
        <v>3.1534442424145874E-2</v>
      </c>
      <c r="K139" s="21">
        <f t="shared" si="12"/>
        <v>22.439873498433666</v>
      </c>
    </row>
    <row r="140" spans="2:11" x14ac:dyDescent="0.25">
      <c r="B140" s="4">
        <v>134</v>
      </c>
      <c r="C140" s="3">
        <v>0.86675690000000005</v>
      </c>
      <c r="D140" s="3">
        <v>-3.4941211838665102E-2</v>
      </c>
      <c r="E140" s="20">
        <f t="shared" si="13"/>
        <v>0.96181685743942447</v>
      </c>
      <c r="F140" s="20">
        <f t="shared" si="14"/>
        <v>-1.9131298579965527E-3</v>
      </c>
      <c r="G140" s="3">
        <f t="shared" si="8"/>
        <v>-4.9226466005453877E-2</v>
      </c>
      <c r="H140" s="20">
        <f t="shared" si="9"/>
        <v>0.96285288533038804</v>
      </c>
      <c r="I140" s="20">
        <f t="shared" si="10"/>
        <v>9.609598533038799E-2</v>
      </c>
      <c r="J140" s="20">
        <f t="shared" si="11"/>
        <v>9.2344383966181439E-3</v>
      </c>
      <c r="K140" s="21">
        <f t="shared" si="12"/>
        <v>11.08684399632561</v>
      </c>
    </row>
    <row r="141" spans="2:11" x14ac:dyDescent="0.25">
      <c r="B141" s="3">
        <v>135</v>
      </c>
      <c r="C141" s="3">
        <v>1.0572655</v>
      </c>
      <c r="D141" s="3">
        <v>0.464365357040666</v>
      </c>
      <c r="E141" s="20">
        <f t="shared" si="13"/>
        <v>1.0054857000213659</v>
      </c>
      <c r="F141" s="20">
        <f t="shared" si="14"/>
        <v>1.927572687285843E-4</v>
      </c>
      <c r="G141" s="3">
        <f t="shared" si="8"/>
        <v>-8.1610995287325142E-3</v>
      </c>
      <c r="H141" s="20">
        <f t="shared" si="9"/>
        <v>0.93159146515043267</v>
      </c>
      <c r="I141" s="20">
        <f t="shared" si="10"/>
        <v>0.1256740348495673</v>
      </c>
      <c r="J141" s="20">
        <f t="shared" si="11"/>
        <v>1.5793963035370256E-2</v>
      </c>
      <c r="K141" s="21">
        <f t="shared" si="12"/>
        <v>11.88670535920895</v>
      </c>
    </row>
    <row r="142" spans="2:11" x14ac:dyDescent="0.25">
      <c r="B142" s="4">
        <v>136</v>
      </c>
      <c r="C142" s="3">
        <v>0.81036949999999996</v>
      </c>
      <c r="D142" s="3">
        <v>-0.16538504401635101</v>
      </c>
      <c r="E142" s="20">
        <f t="shared" si="13"/>
        <v>0.97619427389492186</v>
      </c>
      <c r="F142" s="20">
        <f t="shared" si="14"/>
        <v>-1.169412004128393E-3</v>
      </c>
      <c r="G142" s="3">
        <f t="shared" si="8"/>
        <v>-0.12705268090847782</v>
      </c>
      <c r="H142" s="20">
        <f t="shared" si="9"/>
        <v>0.89166032821938968</v>
      </c>
      <c r="I142" s="20">
        <f t="shared" si="10"/>
        <v>8.129082821938971E-2</v>
      </c>
      <c r="J142" s="20">
        <f t="shared" si="11"/>
        <v>6.6081987525943263E-3</v>
      </c>
      <c r="K142" s="21">
        <f t="shared" si="12"/>
        <v>10.031328698746647</v>
      </c>
    </row>
    <row r="143" spans="2:11" x14ac:dyDescent="0.25">
      <c r="B143" s="3">
        <v>137</v>
      </c>
      <c r="C143" s="3">
        <v>0.8643575</v>
      </c>
      <c r="D143" s="3">
        <v>-4.0643193232936498E-2</v>
      </c>
      <c r="E143" s="20">
        <f t="shared" si="13"/>
        <v>0.95377847248393377</v>
      </c>
      <c r="F143" s="20">
        <f t="shared" si="14"/>
        <v>-2.1509951947253107E-3</v>
      </c>
      <c r="G143" s="3">
        <f t="shared" si="8"/>
        <v>-6.148168806597569E-2</v>
      </c>
      <c r="H143" s="20">
        <f t="shared" si="9"/>
        <v>0.92293591027532329</v>
      </c>
      <c r="I143" s="20">
        <f t="shared" si="10"/>
        <v>5.8578410275323289E-2</v>
      </c>
      <c r="J143" s="20">
        <f t="shared" si="11"/>
        <v>3.4314301503841011E-3</v>
      </c>
      <c r="K143" s="21">
        <f t="shared" si="12"/>
        <v>6.7771044128527009</v>
      </c>
    </row>
    <row r="144" spans="2:11" x14ac:dyDescent="0.25">
      <c r="B144" s="4">
        <v>138</v>
      </c>
      <c r="C144" s="3">
        <v>1.0934978</v>
      </c>
      <c r="D144" s="3">
        <v>0.57057204783070903</v>
      </c>
      <c r="E144" s="20">
        <f t="shared" si="13"/>
        <v>0.95170708833024265</v>
      </c>
      <c r="F144" s="20">
        <f t="shared" si="14"/>
        <v>-2.1473171646295311E-3</v>
      </c>
      <c r="G144" s="3">
        <f t="shared" si="8"/>
        <v>0.14168602209282877</v>
      </c>
      <c r="H144" s="20">
        <f t="shared" si="9"/>
        <v>1.093278304436079</v>
      </c>
      <c r="I144" s="20">
        <f t="shared" si="10"/>
        <v>2.1949556392097946E-4</v>
      </c>
      <c r="J144" s="20">
        <f t="shared" si="11"/>
        <v>4.8178302580988779E-8</v>
      </c>
      <c r="K144" s="21">
        <f t="shared" si="12"/>
        <v>2.0072794286461249E-2</v>
      </c>
    </row>
    <row r="145" spans="2:11" x14ac:dyDescent="0.25">
      <c r="B145" s="3">
        <v>139</v>
      </c>
      <c r="C145" s="3">
        <v>0.83738999999999997</v>
      </c>
      <c r="D145" s="3">
        <v>-0.10379457686739101</v>
      </c>
      <c r="E145" s="20">
        <f t="shared" si="13"/>
        <v>0.98216881608845374</v>
      </c>
      <c r="F145" s="20">
        <f t="shared" si="14"/>
        <v>-6.407792891942939E-4</v>
      </c>
      <c r="G145" s="3">
        <f t="shared" si="8"/>
        <v>-0.18766014351075275</v>
      </c>
      <c r="H145" s="20">
        <f t="shared" si="9"/>
        <v>0.74748361752732095</v>
      </c>
      <c r="I145" s="20">
        <f t="shared" si="10"/>
        <v>8.9906382472679014E-2</v>
      </c>
      <c r="J145" s="20">
        <f t="shared" si="11"/>
        <v>8.0831576093236442E-3</v>
      </c>
      <c r="K145" s="21">
        <f t="shared" si="12"/>
        <v>10.736500611743514</v>
      </c>
    </row>
    <row r="146" spans="2:11" x14ac:dyDescent="0.25">
      <c r="B146" s="4">
        <v>140</v>
      </c>
      <c r="C146" s="3">
        <v>0.86395270000000002</v>
      </c>
      <c r="D146" s="3">
        <v>-4.1603643330901302E-2</v>
      </c>
      <c r="E146" s="20">
        <f t="shared" si="13"/>
        <v>0.95379502097219393</v>
      </c>
      <c r="F146" s="20">
        <f t="shared" si="14"/>
        <v>-1.922044620404721E-3</v>
      </c>
      <c r="G146" s="3">
        <f t="shared" si="8"/>
        <v>-5.3373036609461307E-2</v>
      </c>
      <c r="H146" s="20">
        <f t="shared" si="9"/>
        <v>0.94041538493814603</v>
      </c>
      <c r="I146" s="20">
        <f t="shared" si="10"/>
        <v>7.6462684938146008E-2</v>
      </c>
      <c r="J146" s="20">
        <f t="shared" si="11"/>
        <v>5.8465421879501803E-3</v>
      </c>
      <c r="K146" s="21">
        <f t="shared" si="12"/>
        <v>8.8503323084870278</v>
      </c>
    </row>
    <row r="147" spans="2:11" x14ac:dyDescent="0.25">
      <c r="B147" s="3">
        <v>141</v>
      </c>
      <c r="C147" s="3">
        <v>0.80189560000000004</v>
      </c>
      <c r="D147" s="3">
        <v>-0.18435997843239499</v>
      </c>
      <c r="E147" s="20">
        <f t="shared" si="13"/>
        <v>0.93751745665204478</v>
      </c>
      <c r="F147" s="20">
        <f t="shared" si="14"/>
        <v>-2.5852696305329135E-3</v>
      </c>
      <c r="G147" s="3">
        <f t="shared" si="8"/>
        <v>-0.11674415747322478</v>
      </c>
      <c r="H147" s="20">
        <f t="shared" si="9"/>
        <v>0.8414751966356343</v>
      </c>
      <c r="I147" s="20">
        <f t="shared" si="10"/>
        <v>3.9579596635634262E-2</v>
      </c>
      <c r="J147" s="20">
        <f t="shared" si="11"/>
        <v>1.5665444698395111E-3</v>
      </c>
      <c r="K147" s="21">
        <f t="shared" si="12"/>
        <v>4.9357543096176428</v>
      </c>
    </row>
    <row r="148" spans="2:11" x14ac:dyDescent="0.25">
      <c r="B148" s="4">
        <v>142</v>
      </c>
      <c r="C148" s="3">
        <v>0.86008470000000004</v>
      </c>
      <c r="D148" s="3">
        <v>-5.0762888115602499E-2</v>
      </c>
      <c r="E148" s="20">
        <f t="shared" si="13"/>
        <v>0.95804265721046122</v>
      </c>
      <c r="F148" s="20">
        <f t="shared" si="14"/>
        <v>-1.5175659078034529E-3</v>
      </c>
      <c r="G148" s="3">
        <f t="shared" ref="G148:G211" si="15">$H$3*(C148-E148)+(1-$H$3)*G136</f>
        <v>-0.12834853262904639</v>
      </c>
      <c r="H148" s="20">
        <f t="shared" ref="H148:H211" si="16">E147+F147+G136</f>
        <v>0.79636683347408477</v>
      </c>
      <c r="I148" s="20">
        <f t="shared" ref="I148:I211" si="17">ABS(C148-H148)</f>
        <v>6.3717866525915268E-2</v>
      </c>
      <c r="J148" s="20">
        <f t="shared" ref="J148:J211" si="18">(C148-H148)^2</f>
        <v>4.0599665146143537E-3</v>
      </c>
      <c r="K148" s="21">
        <f t="shared" ref="K148:K211" si="19">ABS((C148 - H148) / C148) * 100</f>
        <v>7.4083246133683414</v>
      </c>
    </row>
    <row r="149" spans="2:11" x14ac:dyDescent="0.25">
      <c r="B149" s="3">
        <v>143</v>
      </c>
      <c r="C149" s="3">
        <v>1.5246206</v>
      </c>
      <c r="D149" s="3">
        <v>2.1792765718036402</v>
      </c>
      <c r="E149" s="20">
        <f t="shared" si="13"/>
        <v>1.0431102252969102</v>
      </c>
      <c r="F149" s="20">
        <f t="shared" si="14"/>
        <v>2.4826672827310105E-3</v>
      </c>
      <c r="G149" s="3">
        <f t="shared" si="15"/>
        <v>0.3676497728517758</v>
      </c>
      <c r="H149" s="20">
        <f t="shared" si="16"/>
        <v>1.2858967676474979</v>
      </c>
      <c r="I149" s="20">
        <f t="shared" si="17"/>
        <v>0.23872383235250205</v>
      </c>
      <c r="J149" s="20">
        <f t="shared" si="18"/>
        <v>5.6989068133065507E-2</v>
      </c>
      <c r="K149" s="21">
        <f t="shared" si="19"/>
        <v>15.657917278075741</v>
      </c>
    </row>
    <row r="150" spans="2:11" x14ac:dyDescent="0.25">
      <c r="B150" s="4">
        <v>144</v>
      </c>
      <c r="C150" s="3">
        <v>0.79151280000000002</v>
      </c>
      <c r="D150" s="3">
        <v>-0.20739136575279801</v>
      </c>
      <c r="E150" s="20">
        <f t="shared" si="13"/>
        <v>1.1133730265796966</v>
      </c>
      <c r="F150" s="20">
        <f t="shared" si="14"/>
        <v>5.6141094735335691E-3</v>
      </c>
      <c r="G150" s="3">
        <f t="shared" si="15"/>
        <v>-0.41099200353486426</v>
      </c>
      <c r="H150" s="20">
        <f t="shared" si="16"/>
        <v>0.604636224317465</v>
      </c>
      <c r="I150" s="20">
        <f t="shared" si="17"/>
        <v>0.18687657568253502</v>
      </c>
      <c r="J150" s="20">
        <f t="shared" si="18"/>
        <v>3.4922854538830241E-2</v>
      </c>
      <c r="K150" s="21">
        <f t="shared" si="19"/>
        <v>23.610050991283401</v>
      </c>
    </row>
    <row r="151" spans="2:11" x14ac:dyDescent="0.25">
      <c r="B151" s="3">
        <v>145</v>
      </c>
      <c r="C151" s="3">
        <v>0.99538479999999996</v>
      </c>
      <c r="D151" s="3">
        <v>0.29164149212347601</v>
      </c>
      <c r="E151" s="20">
        <f t="shared" ref="E151:E214" si="20">$F$3 * (C151 - G139) + (1 - $F$3) * (E150 + F150)</f>
        <v>1.1180141828980781</v>
      </c>
      <c r="F151" s="20">
        <f t="shared" ref="F151:F214" si="21">$G$3 * (E151 - E150) + (1 - $G$3) * F150</f>
        <v>5.5691590377655422E-3</v>
      </c>
      <c r="G151" s="3">
        <f t="shared" si="15"/>
        <v>-0.12134993656926489</v>
      </c>
      <c r="H151" s="20">
        <f t="shared" si="16"/>
        <v>0.99806732868803982</v>
      </c>
      <c r="I151" s="20">
        <f t="shared" si="17"/>
        <v>2.6825286880398647E-3</v>
      </c>
      <c r="J151" s="20">
        <f t="shared" si="18"/>
        <v>7.1959601621568776E-6</v>
      </c>
      <c r="K151" s="21">
        <f t="shared" si="19"/>
        <v>0.26949664974187515</v>
      </c>
    </row>
    <row r="152" spans="2:11" x14ac:dyDescent="0.25">
      <c r="B152" s="4">
        <v>146</v>
      </c>
      <c r="C152" s="3">
        <v>1.0879566000000001</v>
      </c>
      <c r="D152" s="3">
        <v>0.55407906885024405</v>
      </c>
      <c r="E152" s="20">
        <f t="shared" si="20"/>
        <v>1.1285159618558913</v>
      </c>
      <c r="F152" s="20">
        <f t="shared" si="21"/>
        <v>5.7970460780717454E-3</v>
      </c>
      <c r="G152" s="3">
        <f t="shared" si="15"/>
        <v>-4.7045822601423926E-2</v>
      </c>
      <c r="H152" s="20">
        <f t="shared" si="16"/>
        <v>1.0743568759303899</v>
      </c>
      <c r="I152" s="20">
        <f t="shared" si="17"/>
        <v>1.3599724069610186E-2</v>
      </c>
      <c r="J152" s="20">
        <f t="shared" si="18"/>
        <v>1.8495249476953464E-4</v>
      </c>
      <c r="K152" s="21">
        <f t="shared" si="19"/>
        <v>1.2500245018606611</v>
      </c>
    </row>
    <row r="153" spans="2:11" x14ac:dyDescent="0.25">
      <c r="B153" s="3">
        <v>147</v>
      </c>
      <c r="C153" s="3">
        <v>0.62947679999999995</v>
      </c>
      <c r="D153" s="3">
        <v>-0.53749527964922295</v>
      </c>
      <c r="E153" s="20">
        <f t="shared" si="20"/>
        <v>0.95416894611538594</v>
      </c>
      <c r="F153" s="20">
        <f t="shared" si="21"/>
        <v>-2.5256095779465177E-3</v>
      </c>
      <c r="G153" s="3">
        <f t="shared" si="15"/>
        <v>-8.7800310849934518E-2</v>
      </c>
      <c r="H153" s="20">
        <f t="shared" si="16"/>
        <v>1.1261519084052307</v>
      </c>
      <c r="I153" s="20">
        <f t="shared" si="17"/>
        <v>0.49667510840523077</v>
      </c>
      <c r="J153" s="20">
        <f t="shared" si="18"/>
        <v>0.24668616330934773</v>
      </c>
      <c r="K153" s="21">
        <f t="shared" si="19"/>
        <v>78.902845729220019</v>
      </c>
    </row>
    <row r="154" spans="2:11" x14ac:dyDescent="0.25">
      <c r="B154" s="4">
        <v>148</v>
      </c>
      <c r="C154" s="3">
        <v>0.9786918</v>
      </c>
      <c r="D154" s="3">
        <v>0.24684914284833701</v>
      </c>
      <c r="E154" s="20">
        <f t="shared" si="20"/>
        <v>1.007535821600815</v>
      </c>
      <c r="F154" s="20">
        <f t="shared" si="21"/>
        <v>5.6623231981434066E-5</v>
      </c>
      <c r="G154" s="3">
        <f t="shared" si="15"/>
        <v>-0.10234338222666985</v>
      </c>
      <c r="H154" s="20">
        <f t="shared" si="16"/>
        <v>0.8245906556289615</v>
      </c>
      <c r="I154" s="20">
        <f t="shared" si="17"/>
        <v>0.1541011443710385</v>
      </c>
      <c r="J154" s="20">
        <f t="shared" si="18"/>
        <v>2.3747162696463649E-2</v>
      </c>
      <c r="K154" s="21">
        <f t="shared" si="19"/>
        <v>15.745625371648</v>
      </c>
    </row>
    <row r="155" spans="2:11" x14ac:dyDescent="0.25">
      <c r="B155" s="3">
        <v>149</v>
      </c>
      <c r="C155" s="3">
        <v>0.93605559999999999</v>
      </c>
      <c r="D155" s="3">
        <v>0.13578005656334899</v>
      </c>
      <c r="E155" s="20">
        <f t="shared" si="20"/>
        <v>1.0039454394734706</v>
      </c>
      <c r="F155" s="20">
        <f t="shared" si="21"/>
        <v>-1.1186841561942019E-4</v>
      </c>
      <c r="G155" s="3">
        <f t="shared" si="15"/>
        <v>-6.309397896010141E-2</v>
      </c>
      <c r="H155" s="20">
        <f t="shared" si="16"/>
        <v>0.94611075676682077</v>
      </c>
      <c r="I155" s="20">
        <f t="shared" si="17"/>
        <v>1.0055156766820783E-2</v>
      </c>
      <c r="J155" s="20">
        <f t="shared" si="18"/>
        <v>1.0110617760534179E-4</v>
      </c>
      <c r="K155" s="21">
        <f t="shared" si="19"/>
        <v>1.0742050757263546</v>
      </c>
    </row>
    <row r="156" spans="2:11" x14ac:dyDescent="0.25">
      <c r="B156" s="4">
        <v>150</v>
      </c>
      <c r="C156" s="3">
        <v>1.1669643000000001</v>
      </c>
      <c r="D156" s="3">
        <v>0.79810274717296703</v>
      </c>
      <c r="E156" s="20">
        <f t="shared" si="20"/>
        <v>1.0116115662320995</v>
      </c>
      <c r="F156" s="20">
        <f t="shared" si="21"/>
        <v>2.4747496143085113E-4</v>
      </c>
      <c r="G156" s="3">
        <f t="shared" si="15"/>
        <v>0.14512456675027682</v>
      </c>
      <c r="H156" s="20">
        <f t="shared" si="16"/>
        <v>1.1455195931506799</v>
      </c>
      <c r="I156" s="20">
        <f t="shared" si="17"/>
        <v>2.1444706849320205E-2</v>
      </c>
      <c r="J156" s="20">
        <f t="shared" si="18"/>
        <v>4.5987545185328092E-4</v>
      </c>
      <c r="K156" s="21">
        <f t="shared" si="19"/>
        <v>1.8376489194502525</v>
      </c>
    </row>
    <row r="157" spans="2:11" x14ac:dyDescent="0.25">
      <c r="B157" s="3">
        <v>151</v>
      </c>
      <c r="C157" s="3">
        <v>0.89122619999999997</v>
      </c>
      <c r="D157" s="3">
        <v>2.3993706666480898E-2</v>
      </c>
      <c r="E157" s="20">
        <f t="shared" si="20"/>
        <v>1.036169843743987</v>
      </c>
      <c r="F157" s="20">
        <f t="shared" si="21"/>
        <v>1.3706340392619504E-3</v>
      </c>
      <c r="G157" s="3">
        <f t="shared" si="15"/>
        <v>-0.17691267216943449</v>
      </c>
      <c r="H157" s="20">
        <f t="shared" si="16"/>
        <v>0.82419889768277765</v>
      </c>
      <c r="I157" s="20">
        <f t="shared" si="17"/>
        <v>6.7027302317222315E-2</v>
      </c>
      <c r="J157" s="20">
        <f t="shared" si="18"/>
        <v>4.492659255924316E-3</v>
      </c>
      <c r="K157" s="21">
        <f t="shared" si="19"/>
        <v>7.5207957662400764</v>
      </c>
    </row>
    <row r="158" spans="2:11" x14ac:dyDescent="0.25">
      <c r="B158" s="4">
        <v>152</v>
      </c>
      <c r="C158" s="3">
        <v>0.86880789999999997</v>
      </c>
      <c r="D158" s="3">
        <v>-3.0056695988207899E-2</v>
      </c>
      <c r="E158" s="20">
        <f t="shared" si="20"/>
        <v>0.9956995721995161</v>
      </c>
      <c r="F158" s="20">
        <f t="shared" si="21"/>
        <v>-5.6241579870650797E-4</v>
      </c>
      <c r="G158" s="3">
        <f t="shared" si="15"/>
        <v>-7.1870325323919099E-2</v>
      </c>
      <c r="H158" s="20">
        <f t="shared" si="16"/>
        <v>0.98416744117378752</v>
      </c>
      <c r="I158" s="20">
        <f t="shared" si="17"/>
        <v>0.11535954117378755</v>
      </c>
      <c r="J158" s="20">
        <f t="shared" si="18"/>
        <v>1.3307823739826785E-2</v>
      </c>
      <c r="K158" s="21">
        <f t="shared" si="19"/>
        <v>13.277911166989567</v>
      </c>
    </row>
    <row r="159" spans="2:11" x14ac:dyDescent="0.25">
      <c r="B159" s="3">
        <v>153</v>
      </c>
      <c r="C159" s="3">
        <v>0.88956550000000001</v>
      </c>
      <c r="D159" s="3">
        <v>1.9948116865732099E-2</v>
      </c>
      <c r="E159" s="20">
        <f t="shared" si="20"/>
        <v>0.99918942253977461</v>
      </c>
      <c r="F159" s="20">
        <f t="shared" si="21"/>
        <v>-3.7520110308632434E-4</v>
      </c>
      <c r="G159" s="3">
        <f t="shared" si="15"/>
        <v>-0.1149527063639687</v>
      </c>
      <c r="H159" s="20">
        <f t="shared" si="16"/>
        <v>0.87839299892758482</v>
      </c>
      <c r="I159" s="20">
        <f t="shared" si="17"/>
        <v>1.1172501072415186E-2</v>
      </c>
      <c r="J159" s="20">
        <f t="shared" si="18"/>
        <v>1.248247802131185E-4</v>
      </c>
      <c r="K159" s="21">
        <f t="shared" si="19"/>
        <v>1.2559503569343895</v>
      </c>
    </row>
    <row r="160" spans="2:11" x14ac:dyDescent="0.25">
      <c r="B160" s="4">
        <v>154</v>
      </c>
      <c r="C160" s="3">
        <v>1.0982025</v>
      </c>
      <c r="D160" s="3">
        <v>0.584647275220332</v>
      </c>
      <c r="E160" s="20">
        <f t="shared" si="20"/>
        <v>1.0814143628561566</v>
      </c>
      <c r="F160" s="20">
        <f t="shared" si="21"/>
        <v>3.4409254304931095E-3</v>
      </c>
      <c r="G160" s="3">
        <f t="shared" si="15"/>
        <v>-9.1832146514187293E-2</v>
      </c>
      <c r="H160" s="20">
        <f t="shared" si="16"/>
        <v>0.87046568880764186</v>
      </c>
      <c r="I160" s="20">
        <f t="shared" si="17"/>
        <v>0.22773681119235811</v>
      </c>
      <c r="J160" s="20">
        <f t="shared" si="18"/>
        <v>5.1864055172063765E-2</v>
      </c>
      <c r="K160" s="21">
        <f t="shared" si="19"/>
        <v>20.73723299595094</v>
      </c>
    </row>
    <row r="161" spans="2:11" x14ac:dyDescent="0.25">
      <c r="B161" s="3">
        <v>155</v>
      </c>
      <c r="C161" s="3">
        <v>1.4995546</v>
      </c>
      <c r="D161" s="3">
        <v>2.06556956462288</v>
      </c>
      <c r="E161" s="20">
        <f t="shared" si="20"/>
        <v>1.1019201560317426</v>
      </c>
      <c r="F161" s="20">
        <f t="shared" si="21"/>
        <v>4.2293223203164051E-3</v>
      </c>
      <c r="G161" s="3">
        <f t="shared" si="15"/>
        <v>0.37519391610468256</v>
      </c>
      <c r="H161" s="20">
        <f t="shared" si="16"/>
        <v>1.4525050611384254</v>
      </c>
      <c r="I161" s="20">
        <f t="shared" si="17"/>
        <v>4.7049538861574591E-2</v>
      </c>
      <c r="J161" s="20">
        <f t="shared" si="18"/>
        <v>2.2136591070868175E-3</v>
      </c>
      <c r="K161" s="21">
        <f t="shared" si="19"/>
        <v>3.1375675725028347</v>
      </c>
    </row>
    <row r="162" spans="2:11" x14ac:dyDescent="0.25">
      <c r="B162" s="4">
        <v>156</v>
      </c>
      <c r="C162" s="3">
        <v>0.51416600000000001</v>
      </c>
      <c r="D162" s="3">
        <v>-0.74188050778390102</v>
      </c>
      <c r="E162" s="20">
        <f t="shared" si="20"/>
        <v>1.0405038704358625</v>
      </c>
      <c r="F162" s="20">
        <f t="shared" si="21"/>
        <v>1.196495234588122E-3</v>
      </c>
      <c r="G162" s="3">
        <f t="shared" si="15"/>
        <v>-0.44001302364715533</v>
      </c>
      <c r="H162" s="20">
        <f t="shared" si="16"/>
        <v>0.69515747481719492</v>
      </c>
      <c r="I162" s="20">
        <f t="shared" si="17"/>
        <v>0.18099147481719491</v>
      </c>
      <c r="J162" s="20">
        <f t="shared" si="18"/>
        <v>3.27579139565033E-2</v>
      </c>
      <c r="K162" s="21">
        <f t="shared" si="19"/>
        <v>35.20098077609078</v>
      </c>
    </row>
    <row r="163" spans="2:11" x14ac:dyDescent="0.25">
      <c r="B163" s="3">
        <v>157</v>
      </c>
      <c r="C163" s="3">
        <v>0.96472089999999999</v>
      </c>
      <c r="D163" s="3">
        <v>0.20993154155025601</v>
      </c>
      <c r="E163" s="20">
        <f t="shared" si="20"/>
        <v>1.0577935354654504</v>
      </c>
      <c r="F163" s="20">
        <f t="shared" si="21"/>
        <v>1.9399996791171141E-3</v>
      </c>
      <c r="G163" s="3">
        <f t="shared" si="15"/>
        <v>-0.11423536761154517</v>
      </c>
      <c r="H163" s="20">
        <f t="shared" si="16"/>
        <v>0.92035042910118581</v>
      </c>
      <c r="I163" s="20">
        <f t="shared" si="17"/>
        <v>4.4370470898814185E-2</v>
      </c>
      <c r="J163" s="20">
        <f t="shared" si="18"/>
        <v>1.9687386877825165E-3</v>
      </c>
      <c r="K163" s="21">
        <f t="shared" si="19"/>
        <v>4.5993064832340824</v>
      </c>
    </row>
    <row r="164" spans="2:11" x14ac:dyDescent="0.25">
      <c r="B164" s="4">
        <v>158</v>
      </c>
      <c r="C164" s="3">
        <v>0.84565199999999996</v>
      </c>
      <c r="D164" s="3">
        <v>-8.46275681340425E-2</v>
      </c>
      <c r="E164" s="20">
        <f t="shared" si="20"/>
        <v>0.99914968220516942</v>
      </c>
      <c r="F164" s="20">
        <f t="shared" si="21"/>
        <v>-8.5897432668307792E-4</v>
      </c>
      <c r="G164" s="3">
        <f t="shared" si="15"/>
        <v>-7.3829110477726306E-2</v>
      </c>
      <c r="H164" s="20">
        <f t="shared" si="16"/>
        <v>1.0126877125431437</v>
      </c>
      <c r="I164" s="20">
        <f t="shared" si="17"/>
        <v>0.16703571254314376</v>
      </c>
      <c r="J164" s="20">
        <f t="shared" si="18"/>
        <v>2.7900929264795753E-2</v>
      </c>
      <c r="K164" s="21">
        <f t="shared" si="19"/>
        <v>19.752299118685197</v>
      </c>
    </row>
    <row r="165" spans="2:11" x14ac:dyDescent="0.25">
      <c r="B165" s="3">
        <v>159</v>
      </c>
      <c r="C165" s="3">
        <v>1.0111873</v>
      </c>
      <c r="D165" s="3">
        <v>0.33473899873149898</v>
      </c>
      <c r="E165" s="20">
        <f t="shared" si="20"/>
        <v>1.0348134745862307</v>
      </c>
      <c r="F165" s="20">
        <f t="shared" si="21"/>
        <v>8.2837749521471324E-4</v>
      </c>
      <c r="G165" s="3">
        <f t="shared" si="15"/>
        <v>-7.1654098165986641E-2</v>
      </c>
      <c r="H165" s="20">
        <f t="shared" si="16"/>
        <v>0.91049039702855183</v>
      </c>
      <c r="I165" s="20">
        <f t="shared" si="17"/>
        <v>0.10069690297144818</v>
      </c>
      <c r="J165" s="20">
        <f t="shared" si="18"/>
        <v>1.0139866268041248E-2</v>
      </c>
      <c r="K165" s="21">
        <f t="shared" si="19"/>
        <v>9.9582839867004047</v>
      </c>
    </row>
    <row r="166" spans="2:11" x14ac:dyDescent="0.25">
      <c r="B166" s="4">
        <v>160</v>
      </c>
      <c r="C166" s="3">
        <v>0.86535280000000003</v>
      </c>
      <c r="D166" s="3">
        <v>-3.8279686503122697E-2</v>
      </c>
      <c r="E166" s="20">
        <f t="shared" si="20"/>
        <v>1.0109979576251185</v>
      </c>
      <c r="F166" s="20">
        <f t="shared" si="21"/>
        <v>-3.1017042866759385E-4</v>
      </c>
      <c r="G166" s="3">
        <f t="shared" si="15"/>
        <v>-0.1132381089169195</v>
      </c>
      <c r="H166" s="20">
        <f t="shared" si="16"/>
        <v>0.9332984698547756</v>
      </c>
      <c r="I166" s="20">
        <f t="shared" si="17"/>
        <v>6.794566985477557E-2</v>
      </c>
      <c r="J166" s="20">
        <f t="shared" si="18"/>
        <v>4.6166140520141575E-3</v>
      </c>
      <c r="K166" s="21">
        <f t="shared" si="19"/>
        <v>7.8517882942974904</v>
      </c>
    </row>
    <row r="167" spans="2:11" x14ac:dyDescent="0.25">
      <c r="B167" s="3">
        <v>161</v>
      </c>
      <c r="C167" s="3">
        <v>0.90903460000000003</v>
      </c>
      <c r="D167" s="3">
        <v>6.7801613997732699E-2</v>
      </c>
      <c r="E167" s="20">
        <f t="shared" si="20"/>
        <v>0.9967023623691269</v>
      </c>
      <c r="F167" s="20">
        <f t="shared" si="21"/>
        <v>-9.5629705568996083E-4</v>
      </c>
      <c r="G167" s="3">
        <f t="shared" si="15"/>
        <v>-6.9276742865812216E-2</v>
      </c>
      <c r="H167" s="20">
        <f t="shared" si="16"/>
        <v>0.94759380823634942</v>
      </c>
      <c r="I167" s="20">
        <f t="shared" si="17"/>
        <v>3.8559208236349396E-2</v>
      </c>
      <c r="J167" s="20">
        <f t="shared" si="18"/>
        <v>1.4868125398141551E-3</v>
      </c>
      <c r="K167" s="21">
        <f t="shared" si="19"/>
        <v>4.2417756415816728</v>
      </c>
    </row>
    <row r="168" spans="2:11" x14ac:dyDescent="0.25">
      <c r="B168" s="4">
        <v>162</v>
      </c>
      <c r="C168" s="3">
        <v>1.1318699999999999</v>
      </c>
      <c r="D168" s="3">
        <v>0.68732715631996499</v>
      </c>
      <c r="E168" s="20">
        <f t="shared" si="20"/>
        <v>0.99248153606392786</v>
      </c>
      <c r="F168" s="20">
        <f t="shared" si="21"/>
        <v>-1.1071183070172803E-3</v>
      </c>
      <c r="G168" s="3">
        <f t="shared" si="15"/>
        <v>0.14368136328222289</v>
      </c>
      <c r="H168" s="20">
        <f t="shared" si="16"/>
        <v>1.1408706320637136</v>
      </c>
      <c r="I168" s="20">
        <f t="shared" si="17"/>
        <v>9.0006320637137094E-3</v>
      </c>
      <c r="J168" s="20">
        <f t="shared" si="18"/>
        <v>8.1011377546351307E-5</v>
      </c>
      <c r="K168" s="21">
        <f t="shared" si="19"/>
        <v>0.79520016112395508</v>
      </c>
    </row>
    <row r="169" spans="2:11" x14ac:dyDescent="0.25">
      <c r="B169" s="3">
        <v>163</v>
      </c>
      <c r="C169" s="3">
        <v>0.68817070000000002</v>
      </c>
      <c r="D169" s="3">
        <v>-0.42405194296123699</v>
      </c>
      <c r="E169" s="20">
        <f t="shared" si="20"/>
        <v>0.94556865552233305</v>
      </c>
      <c r="F169" s="20">
        <f t="shared" si="21"/>
        <v>-3.2233445222547624E-3</v>
      </c>
      <c r="G169" s="3">
        <f t="shared" si="15"/>
        <v>-0.19716276946102373</v>
      </c>
      <c r="H169" s="20">
        <f t="shared" si="16"/>
        <v>0.81446174558747608</v>
      </c>
      <c r="I169" s="20">
        <f t="shared" si="17"/>
        <v>0.12629104558747606</v>
      </c>
      <c r="J169" s="20">
        <f t="shared" si="18"/>
        <v>1.5949428195577955E-2</v>
      </c>
      <c r="K169" s="21">
        <f t="shared" si="19"/>
        <v>18.351703376426233</v>
      </c>
    </row>
    <row r="170" spans="2:11" x14ac:dyDescent="0.25">
      <c r="B170" s="4">
        <v>164</v>
      </c>
      <c r="C170" s="3">
        <v>0.87944670000000003</v>
      </c>
      <c r="D170" s="3">
        <v>-4.55760908053805E-3</v>
      </c>
      <c r="E170" s="20">
        <f t="shared" si="20"/>
        <v>0.94559935178533527</v>
      </c>
      <c r="F170" s="20">
        <f t="shared" si="21"/>
        <v>-3.0730078379758896E-3</v>
      </c>
      <c r="G170" s="3">
        <f t="shared" si="15"/>
        <v>-7.0431758661611388E-2</v>
      </c>
      <c r="H170" s="20">
        <f t="shared" si="16"/>
        <v>0.87047498567615911</v>
      </c>
      <c r="I170" s="20">
        <f t="shared" si="17"/>
        <v>8.971714323840918E-3</v>
      </c>
      <c r="J170" s="20">
        <f t="shared" si="18"/>
        <v>8.04916579086123E-5</v>
      </c>
      <c r="K170" s="21">
        <f t="shared" si="19"/>
        <v>1.0201544134330049</v>
      </c>
    </row>
    <row r="171" spans="2:11" x14ac:dyDescent="0.25">
      <c r="B171" s="3">
        <v>165</v>
      </c>
      <c r="C171" s="3">
        <v>0.88707429999999998</v>
      </c>
      <c r="D171" s="3">
        <v>1.38919889603704E-2</v>
      </c>
      <c r="E171" s="20">
        <f t="shared" si="20"/>
        <v>0.96410723420586364</v>
      </c>
      <c r="F171" s="20">
        <f t="shared" si="21"/>
        <v>-2.0759707080329928E-3</v>
      </c>
      <c r="G171" s="3">
        <f t="shared" si="15"/>
        <v>-0.10541209168898946</v>
      </c>
      <c r="H171" s="20">
        <f t="shared" si="16"/>
        <v>0.82757363758339064</v>
      </c>
      <c r="I171" s="20">
        <f t="shared" si="17"/>
        <v>5.950066241660934E-2</v>
      </c>
      <c r="J171" s="20">
        <f t="shared" si="18"/>
        <v>3.5403288280153071E-3</v>
      </c>
      <c r="K171" s="21">
        <f t="shared" si="19"/>
        <v>6.7075173315932322</v>
      </c>
    </row>
    <row r="172" spans="2:11" x14ac:dyDescent="0.25">
      <c r="B172" s="4">
        <v>166</v>
      </c>
      <c r="C172" s="3">
        <v>0.96048489999999997</v>
      </c>
      <c r="D172" s="3">
        <v>0.19883958224748499</v>
      </c>
      <c r="E172" s="20">
        <f t="shared" si="20"/>
        <v>0.99477791699786322</v>
      </c>
      <c r="F172" s="20">
        <f t="shared" si="21"/>
        <v>-5.6307531633148782E-4</v>
      </c>
      <c r="G172" s="3">
        <f t="shared" si="15"/>
        <v>-7.7355301527880171E-2</v>
      </c>
      <c r="H172" s="20">
        <f t="shared" si="16"/>
        <v>0.87019911698364338</v>
      </c>
      <c r="I172" s="20">
        <f t="shared" si="17"/>
        <v>9.0285783016356591E-2</v>
      </c>
      <c r="J172" s="20">
        <f t="shared" si="18"/>
        <v>8.1515226148766249E-3</v>
      </c>
      <c r="K172" s="21">
        <f t="shared" si="19"/>
        <v>9.4000210743923809</v>
      </c>
    </row>
    <row r="173" spans="2:11" x14ac:dyDescent="0.25">
      <c r="B173" s="3">
        <v>167</v>
      </c>
      <c r="C173" s="3">
        <v>1.5526754</v>
      </c>
      <c r="D173" s="3">
        <v>2.3099686120234799</v>
      </c>
      <c r="E173" s="20">
        <f t="shared" si="20"/>
        <v>1.0606856528124717</v>
      </c>
      <c r="F173" s="20">
        <f t="shared" si="21"/>
        <v>2.5078761579179405E-3</v>
      </c>
      <c r="G173" s="3">
        <f t="shared" si="15"/>
        <v>0.40457974720512657</v>
      </c>
      <c r="H173" s="20">
        <f t="shared" si="16"/>
        <v>1.3694087577862142</v>
      </c>
      <c r="I173" s="20">
        <f t="shared" si="17"/>
        <v>0.18326664221378586</v>
      </c>
      <c r="J173" s="20">
        <f t="shared" si="18"/>
        <v>3.3586662148315793E-2</v>
      </c>
      <c r="K173" s="21">
        <f t="shared" si="19"/>
        <v>11.803281111672527</v>
      </c>
    </row>
    <row r="174" spans="2:11" x14ac:dyDescent="0.25">
      <c r="B174" s="4">
        <v>168</v>
      </c>
      <c r="C174" s="3">
        <v>0.50102029999999997</v>
      </c>
      <c r="D174" s="3">
        <v>-0.76371947740401203</v>
      </c>
      <c r="E174" s="20">
        <f t="shared" si="20"/>
        <v>1.0188860224996525</v>
      </c>
      <c r="F174" s="20">
        <f t="shared" si="21"/>
        <v>4.6086935896988489E-4</v>
      </c>
      <c r="G174" s="3">
        <f t="shared" si="15"/>
        <v>-0.45960076267844358</v>
      </c>
      <c r="H174" s="20">
        <f t="shared" si="16"/>
        <v>0.62318050532323443</v>
      </c>
      <c r="I174" s="20">
        <f t="shared" si="17"/>
        <v>0.12216020532323446</v>
      </c>
      <c r="J174" s="20">
        <f t="shared" si="18"/>
        <v>1.4923115764614801E-2</v>
      </c>
      <c r="K174" s="21">
        <f t="shared" si="19"/>
        <v>24.382286570670782</v>
      </c>
    </row>
    <row r="175" spans="2:11" x14ac:dyDescent="0.25">
      <c r="B175" s="3">
        <v>169</v>
      </c>
      <c r="C175" s="3">
        <v>0.7170223</v>
      </c>
      <c r="D175" s="3">
        <v>-0.36579887407174599</v>
      </c>
      <c r="E175" s="20">
        <f t="shared" si="20"/>
        <v>0.95112693022420747</v>
      </c>
      <c r="F175" s="20">
        <f t="shared" si="21"/>
        <v>-2.6908928685400861E-3</v>
      </c>
      <c r="G175" s="3">
        <f t="shared" si="15"/>
        <v>-0.14439447408489098</v>
      </c>
      <c r="H175" s="20">
        <f t="shared" si="16"/>
        <v>0.90511152424707719</v>
      </c>
      <c r="I175" s="20">
        <f t="shared" si="17"/>
        <v>0.18808922424707719</v>
      </c>
      <c r="J175" s="20">
        <f t="shared" si="18"/>
        <v>3.5377556277867289E-2</v>
      </c>
      <c r="K175" s="21">
        <f t="shared" si="19"/>
        <v>26.231990866543086</v>
      </c>
    </row>
    <row r="176" spans="2:11" x14ac:dyDescent="0.25">
      <c r="B176" s="4">
        <v>170</v>
      </c>
      <c r="C176" s="3">
        <v>0.96619469999999996</v>
      </c>
      <c r="D176" s="3">
        <v>0.213801537842922</v>
      </c>
      <c r="E176" s="20">
        <f t="shared" si="20"/>
        <v>0.98165492266703813</v>
      </c>
      <c r="F176" s="20">
        <f t="shared" si="21"/>
        <v>-1.1561803671547573E-3</v>
      </c>
      <c r="G176" s="3">
        <f t="shared" si="15"/>
        <v>-5.9143498304557167E-2</v>
      </c>
      <c r="H176" s="20">
        <f t="shared" si="16"/>
        <v>0.87460692687794106</v>
      </c>
      <c r="I176" s="20">
        <f t="shared" si="17"/>
        <v>9.1587773122058902E-2</v>
      </c>
      <c r="J176" s="20">
        <f t="shared" si="18"/>
        <v>8.3883201854577354E-3</v>
      </c>
      <c r="K176" s="21">
        <f t="shared" si="19"/>
        <v>9.4792253695925783</v>
      </c>
    </row>
    <row r="177" spans="2:11" x14ac:dyDescent="0.25">
      <c r="B177" s="3">
        <v>171</v>
      </c>
      <c r="C177" s="3">
        <v>1.0609843999999999</v>
      </c>
      <c r="D177" s="3">
        <v>0.47508996497669498</v>
      </c>
      <c r="E177" s="20">
        <f t="shared" si="20"/>
        <v>1.0356798317525191</v>
      </c>
      <c r="F177" s="20">
        <f t="shared" si="21"/>
        <v>1.3931859655570132E-3</v>
      </c>
      <c r="G177" s="3">
        <f t="shared" si="15"/>
        <v>-4.725929769635822E-2</v>
      </c>
      <c r="H177" s="20">
        <f t="shared" si="16"/>
        <v>0.90884464413389676</v>
      </c>
      <c r="I177" s="20">
        <f t="shared" si="17"/>
        <v>0.15213975586610318</v>
      </c>
      <c r="J177" s="20">
        <f t="shared" si="18"/>
        <v>2.3146505314997477E-2</v>
      </c>
      <c r="K177" s="21">
        <f t="shared" si="19"/>
        <v>14.339490370084912</v>
      </c>
    </row>
    <row r="178" spans="2:11" x14ac:dyDescent="0.25">
      <c r="B178" s="4">
        <v>172</v>
      </c>
      <c r="C178" s="3">
        <v>1.0408141</v>
      </c>
      <c r="D178" s="3">
        <v>0.41739747141698202</v>
      </c>
      <c r="E178" s="20">
        <f t="shared" si="20"/>
        <v>1.0795013703658964</v>
      </c>
      <c r="F178" s="20">
        <f t="shared" si="21"/>
        <v>3.3533758578863119E-3</v>
      </c>
      <c r="G178" s="3">
        <f t="shared" si="15"/>
        <v>-9.4481117937482095E-2</v>
      </c>
      <c r="H178" s="20">
        <f t="shared" si="16"/>
        <v>0.92383490880115648</v>
      </c>
      <c r="I178" s="20">
        <f t="shared" si="17"/>
        <v>0.11697919119884348</v>
      </c>
      <c r="J178" s="20">
        <f t="shared" si="18"/>
        <v>1.368413117353558E-2</v>
      </c>
      <c r="K178" s="21">
        <f t="shared" si="19"/>
        <v>11.239201236689961</v>
      </c>
    </row>
    <row r="179" spans="2:11" x14ac:dyDescent="0.25">
      <c r="B179" s="3">
        <v>173</v>
      </c>
      <c r="C179" s="3">
        <v>0.92291429999999997</v>
      </c>
      <c r="D179" s="3">
        <v>0.102490173520967</v>
      </c>
      <c r="E179" s="20">
        <f t="shared" si="20"/>
        <v>1.0499710210158468</v>
      </c>
      <c r="F179" s="20">
        <f t="shared" si="21"/>
        <v>1.8341477532796721E-3</v>
      </c>
      <c r="G179" s="3">
        <f t="shared" si="15"/>
        <v>-8.3814185368360924E-2</v>
      </c>
      <c r="H179" s="20">
        <f t="shared" si="16"/>
        <v>1.0135780033579704</v>
      </c>
      <c r="I179" s="20">
        <f t="shared" si="17"/>
        <v>9.0663703357970471E-2</v>
      </c>
      <c r="J179" s="20">
        <f t="shared" si="18"/>
        <v>8.2199071065820663E-3</v>
      </c>
      <c r="K179" s="21">
        <f t="shared" si="19"/>
        <v>9.8236318754591263</v>
      </c>
    </row>
    <row r="180" spans="2:11" x14ac:dyDescent="0.25">
      <c r="B180" s="4">
        <v>174</v>
      </c>
      <c r="C180" s="3">
        <v>1.3249188999999999</v>
      </c>
      <c r="D180" s="3">
        <v>1.3477565384143799</v>
      </c>
      <c r="E180" s="20">
        <f t="shared" si="20"/>
        <v>1.0987502886241021</v>
      </c>
      <c r="F180" s="20">
        <f t="shared" si="21"/>
        <v>4.0030122905795433E-3</v>
      </c>
      <c r="G180" s="3">
        <f t="shared" si="15"/>
        <v>0.1644351549025915</v>
      </c>
      <c r="H180" s="20">
        <f t="shared" si="16"/>
        <v>1.1954865320513495</v>
      </c>
      <c r="I180" s="20">
        <f t="shared" si="17"/>
        <v>0.12943236794865043</v>
      </c>
      <c r="J180" s="20">
        <f t="shared" si="18"/>
        <v>1.675273787279483E-2</v>
      </c>
      <c r="K180" s="21">
        <f t="shared" si="19"/>
        <v>9.769078541233764</v>
      </c>
    </row>
    <row r="181" spans="2:11" x14ac:dyDescent="0.25">
      <c r="B181" s="3">
        <v>175</v>
      </c>
      <c r="C181" s="3">
        <v>0.60194859999999994</v>
      </c>
      <c r="D181" s="3">
        <v>-0.58845087618095104</v>
      </c>
      <c r="E181" s="20">
        <f t="shared" si="20"/>
        <v>0.99262237237643991</v>
      </c>
      <c r="F181" s="20">
        <f t="shared" si="21"/>
        <v>-1.0850366078872229E-3</v>
      </c>
      <c r="G181" s="3">
        <f t="shared" si="15"/>
        <v>-0.24585013779454246</v>
      </c>
      <c r="H181" s="20">
        <f t="shared" si="16"/>
        <v>0.90559053145365798</v>
      </c>
      <c r="I181" s="20">
        <f t="shared" si="17"/>
        <v>0.30364193145365803</v>
      </c>
      <c r="J181" s="20">
        <f t="shared" si="18"/>
        <v>9.2198422536907965E-2</v>
      </c>
      <c r="K181" s="21">
        <f t="shared" si="19"/>
        <v>50.44316598687297</v>
      </c>
    </row>
    <row r="182" spans="2:11" x14ac:dyDescent="0.25">
      <c r="B182" s="4">
        <v>176</v>
      </c>
      <c r="C182" s="3">
        <v>0.80174080000000003</v>
      </c>
      <c r="D182" s="3">
        <v>-0.18470517245664</v>
      </c>
      <c r="E182" s="20">
        <f t="shared" si="20"/>
        <v>0.94824373111186522</v>
      </c>
      <c r="F182" s="20">
        <f t="shared" si="21"/>
        <v>-3.0852011430261839E-3</v>
      </c>
      <c r="G182" s="3">
        <f t="shared" si="15"/>
        <v>-8.9571265650095239E-2</v>
      </c>
      <c r="H182" s="20">
        <f t="shared" si="16"/>
        <v>0.92110557710694141</v>
      </c>
      <c r="I182" s="20">
        <f t="shared" si="17"/>
        <v>0.11936477710694138</v>
      </c>
      <c r="J182" s="20">
        <f t="shared" si="18"/>
        <v>1.4247950013789796E-2</v>
      </c>
      <c r="K182" s="21">
        <f t="shared" si="19"/>
        <v>14.888200414266228</v>
      </c>
    </row>
    <row r="183" spans="2:11" x14ac:dyDescent="0.25">
      <c r="B183" s="3">
        <v>177</v>
      </c>
      <c r="C183" s="3">
        <v>0.89767140000000001</v>
      </c>
      <c r="D183" s="3">
        <v>3.9758687298203199E-2</v>
      </c>
      <c r="E183" s="20">
        <f t="shared" si="20"/>
        <v>0.96616791358473753</v>
      </c>
      <c r="F183" s="20">
        <f t="shared" si="21"/>
        <v>-2.1145676199716737E-3</v>
      </c>
      <c r="G183" s="3">
        <f t="shared" si="15"/>
        <v>-9.6124132237959667E-2</v>
      </c>
      <c r="H183" s="20">
        <f t="shared" si="16"/>
        <v>0.83974643827984952</v>
      </c>
      <c r="I183" s="20">
        <f t="shared" si="17"/>
        <v>5.7924961720150492E-2</v>
      </c>
      <c r="J183" s="20">
        <f t="shared" si="18"/>
        <v>3.3553011902808997E-3</v>
      </c>
      <c r="K183" s="21">
        <f t="shared" si="19"/>
        <v>6.4528024085595783</v>
      </c>
    </row>
    <row r="184" spans="2:11" x14ac:dyDescent="0.25">
      <c r="B184" s="4">
        <v>178</v>
      </c>
      <c r="C184" s="3">
        <v>0.86541239999999997</v>
      </c>
      <c r="D184" s="3">
        <v>-3.8137934662401902E-2</v>
      </c>
      <c r="E184" s="20">
        <f t="shared" si="20"/>
        <v>0.95633304272750741</v>
      </c>
      <c r="F184" s="20">
        <f t="shared" si="21"/>
        <v>-2.4712456295330138E-3</v>
      </c>
      <c r="G184" s="3">
        <f t="shared" si="15"/>
        <v>-8.0768341373706393E-2</v>
      </c>
      <c r="H184" s="20">
        <f t="shared" si="16"/>
        <v>0.88669804443688571</v>
      </c>
      <c r="I184" s="20">
        <f t="shared" si="17"/>
        <v>2.1285644436885742E-2</v>
      </c>
      <c r="J184" s="20">
        <f t="shared" si="18"/>
        <v>4.5307865909352497E-4</v>
      </c>
      <c r="K184" s="21">
        <f t="shared" si="19"/>
        <v>2.4595954988495361</v>
      </c>
    </row>
    <row r="185" spans="2:11" x14ac:dyDescent="0.25">
      <c r="B185" s="3">
        <v>179</v>
      </c>
      <c r="C185" s="3">
        <v>1.5415076000000001</v>
      </c>
      <c r="D185" s="3">
        <v>2.2575039710417801</v>
      </c>
      <c r="E185" s="20">
        <f t="shared" si="20"/>
        <v>1.0202598554992397</v>
      </c>
      <c r="F185" s="20">
        <f t="shared" si="21"/>
        <v>5.963446686054431E-4</v>
      </c>
      <c r="G185" s="3">
        <f t="shared" si="15"/>
        <v>0.43393341532470797</v>
      </c>
      <c r="H185" s="20">
        <f t="shared" si="16"/>
        <v>1.3584415443031008</v>
      </c>
      <c r="I185" s="20">
        <f t="shared" si="17"/>
        <v>0.18306605569689927</v>
      </c>
      <c r="J185" s="20">
        <f t="shared" si="18"/>
        <v>3.3513180748420225E-2</v>
      </c>
      <c r="K185" s="21">
        <f t="shared" si="19"/>
        <v>11.875780287875276</v>
      </c>
    </row>
    <row r="186" spans="2:11" x14ac:dyDescent="0.25">
      <c r="B186" s="4">
        <v>180</v>
      </c>
      <c r="C186" s="3">
        <v>0.31880320000000001</v>
      </c>
      <c r="D186" s="3">
        <v>-1.0386431602601101</v>
      </c>
      <c r="E186" s="20">
        <f t="shared" si="20"/>
        <v>0.93291877363043918</v>
      </c>
      <c r="F186" s="20">
        <f t="shared" si="21"/>
        <v>-3.4663644374227122E-3</v>
      </c>
      <c r="G186" s="3">
        <f t="shared" si="15"/>
        <v>-0.49847668911396559</v>
      </c>
      <c r="H186" s="20">
        <f t="shared" si="16"/>
        <v>0.56125543748940165</v>
      </c>
      <c r="I186" s="20">
        <f t="shared" si="17"/>
        <v>0.24245223748940165</v>
      </c>
      <c r="J186" s="20">
        <f t="shared" si="18"/>
        <v>5.8783087463617219E-2</v>
      </c>
      <c r="K186" s="21">
        <f t="shared" si="19"/>
        <v>76.0507540355309</v>
      </c>
    </row>
    <row r="187" spans="2:11" x14ac:dyDescent="0.25">
      <c r="B187" s="3">
        <v>181</v>
      </c>
      <c r="C187" s="3">
        <v>0.96300169999999996</v>
      </c>
      <c r="D187" s="3">
        <v>0.20542413936708301</v>
      </c>
      <c r="E187" s="20">
        <f t="shared" si="20"/>
        <v>0.99399261271929928</v>
      </c>
      <c r="F187" s="20">
        <f t="shared" si="21"/>
        <v>-4.8460703450844619E-4</v>
      </c>
      <c r="G187" s="3">
        <f t="shared" si="15"/>
        <v>-0.11586213804530811</v>
      </c>
      <c r="H187" s="20">
        <f t="shared" si="16"/>
        <v>0.78505793510812549</v>
      </c>
      <c r="I187" s="20">
        <f t="shared" si="17"/>
        <v>0.17794376489187447</v>
      </c>
      <c r="J187" s="20">
        <f t="shared" si="18"/>
        <v>3.1663983463894693E-2</v>
      </c>
      <c r="K187" s="21">
        <f t="shared" si="19"/>
        <v>18.478032270542666</v>
      </c>
    </row>
    <row r="188" spans="2:11" x14ac:dyDescent="0.25">
      <c r="B188" s="4">
        <v>182</v>
      </c>
      <c r="C188" s="3">
        <v>0.92197499999999999</v>
      </c>
      <c r="D188" s="3">
        <v>0.10012740179194</v>
      </c>
      <c r="E188" s="20">
        <f t="shared" si="20"/>
        <v>0.98901433135798</v>
      </c>
      <c r="F188" s="20">
        <f t="shared" si="21"/>
        <v>-6.9221478840710677E-4</v>
      </c>
      <c r="G188" s="3">
        <f t="shared" si="15"/>
        <v>-6.1130089900798351E-2</v>
      </c>
      <c r="H188" s="20">
        <f t="shared" si="16"/>
        <v>0.93436450738023369</v>
      </c>
      <c r="I188" s="20">
        <f t="shared" si="17"/>
        <v>1.23895073802337E-2</v>
      </c>
      <c r="J188" s="20">
        <f t="shared" si="18"/>
        <v>1.534998931248653E-4</v>
      </c>
      <c r="K188" s="21">
        <f t="shared" si="19"/>
        <v>1.3438007950577511</v>
      </c>
    </row>
    <row r="189" spans="2:11" x14ac:dyDescent="0.25">
      <c r="B189" s="3">
        <v>183</v>
      </c>
      <c r="C189" s="3">
        <v>0.6582789</v>
      </c>
      <c r="D189" s="3">
        <v>-0.48265850575191699</v>
      </c>
      <c r="E189" s="20">
        <f t="shared" si="20"/>
        <v>0.88575638919425792</v>
      </c>
      <c r="F189" s="20">
        <f t="shared" si="21"/>
        <v>-5.4307513931466586E-3</v>
      </c>
      <c r="G189" s="3">
        <f t="shared" si="15"/>
        <v>-9.2602194677229771E-2</v>
      </c>
      <c r="H189" s="20">
        <f t="shared" si="16"/>
        <v>0.94106281887321475</v>
      </c>
      <c r="I189" s="20">
        <f t="shared" si="17"/>
        <v>0.28278391887321475</v>
      </c>
      <c r="J189" s="20">
        <f t="shared" si="18"/>
        <v>7.9966744773292894E-2</v>
      </c>
      <c r="K189" s="21">
        <f t="shared" si="19"/>
        <v>42.958071248100879</v>
      </c>
    </row>
    <row r="190" spans="2:11" x14ac:dyDescent="0.25">
      <c r="B190" s="4">
        <v>184</v>
      </c>
      <c r="C190" s="3">
        <v>0.96352510000000002</v>
      </c>
      <c r="D190" s="3">
        <v>0.20679560583798501</v>
      </c>
      <c r="E190" s="20">
        <f t="shared" si="20"/>
        <v>0.944770384216573</v>
      </c>
      <c r="F190" s="20">
        <f t="shared" si="21"/>
        <v>-2.4534041087523263E-3</v>
      </c>
      <c r="G190" s="3">
        <f t="shared" si="15"/>
        <v>-6.5990982173301363E-2</v>
      </c>
      <c r="H190" s="20">
        <f t="shared" si="16"/>
        <v>0.78584451986362924</v>
      </c>
      <c r="I190" s="20">
        <f t="shared" si="17"/>
        <v>0.17768058013637078</v>
      </c>
      <c r="J190" s="20">
        <f t="shared" si="18"/>
        <v>3.1570388557597279E-2</v>
      </c>
      <c r="K190" s="21">
        <f t="shared" si="19"/>
        <v>18.44067997153066</v>
      </c>
    </row>
    <row r="191" spans="2:11" x14ac:dyDescent="0.25">
      <c r="B191" s="3">
        <v>185</v>
      </c>
      <c r="C191" s="3">
        <v>0.75374859999999999</v>
      </c>
      <c r="D191" s="3">
        <v>-0.28917312650681598</v>
      </c>
      <c r="E191" s="20">
        <f t="shared" si="20"/>
        <v>0.90432263367581867</v>
      </c>
      <c r="F191" s="20">
        <f t="shared" si="21"/>
        <v>-4.2087429139108191E-3</v>
      </c>
      <c r="G191" s="3">
        <f t="shared" si="15"/>
        <v>-0.10061096320251728</v>
      </c>
      <c r="H191" s="20">
        <f t="shared" si="16"/>
        <v>0.85850279473945978</v>
      </c>
      <c r="I191" s="20">
        <f t="shared" si="17"/>
        <v>0.10475419473945979</v>
      </c>
      <c r="J191" s="20">
        <f t="shared" si="18"/>
        <v>1.0973441315512667E-2</v>
      </c>
      <c r="K191" s="21">
        <f t="shared" si="19"/>
        <v>13.897763092290957</v>
      </c>
    </row>
    <row r="192" spans="2:11" x14ac:dyDescent="0.25">
      <c r="B192" s="4">
        <v>186</v>
      </c>
      <c r="C192" s="3">
        <v>1.0376563999999999</v>
      </c>
      <c r="D192" s="3">
        <v>0.40847058811457998</v>
      </c>
      <c r="E192" s="20">
        <f t="shared" si="20"/>
        <v>0.89035992817939391</v>
      </c>
      <c r="F192" s="20">
        <f t="shared" si="21"/>
        <v>-4.6593759852229634E-3</v>
      </c>
      <c r="G192" s="3">
        <f t="shared" si="15"/>
        <v>0.16012306223916395</v>
      </c>
      <c r="H192" s="20">
        <f t="shared" si="16"/>
        <v>1.0645490456644993</v>
      </c>
      <c r="I192" s="20">
        <f t="shared" si="17"/>
        <v>2.6892645664499337E-2</v>
      </c>
      <c r="J192" s="20">
        <f t="shared" si="18"/>
        <v>7.2321439083631504E-4</v>
      </c>
      <c r="K192" s="21">
        <f t="shared" si="19"/>
        <v>2.5916715460435014</v>
      </c>
    </row>
    <row r="193" spans="2:11" x14ac:dyDescent="0.25">
      <c r="B193" s="3">
        <v>187</v>
      </c>
      <c r="C193" s="3">
        <v>0.79283959999999998</v>
      </c>
      <c r="D193" s="3">
        <v>-0.20446169883147799</v>
      </c>
      <c r="E193" s="20">
        <f t="shared" si="20"/>
        <v>0.94118972981142579</v>
      </c>
      <c r="F193" s="20">
        <f t="shared" si="21"/>
        <v>-2.0957759793057895E-3</v>
      </c>
      <c r="G193" s="3">
        <f t="shared" si="15"/>
        <v>-0.22131913578599027</v>
      </c>
      <c r="H193" s="20">
        <f t="shared" si="16"/>
        <v>0.63985041439962853</v>
      </c>
      <c r="I193" s="20">
        <f t="shared" si="17"/>
        <v>0.15298918560037145</v>
      </c>
      <c r="J193" s="20">
        <f t="shared" si="18"/>
        <v>2.3405690910664901E-2</v>
      </c>
      <c r="K193" s="21">
        <f t="shared" si="19"/>
        <v>19.296360272666938</v>
      </c>
    </row>
    <row r="194" spans="2:11" x14ac:dyDescent="0.25">
      <c r="B194" s="4">
        <v>188</v>
      </c>
      <c r="C194" s="3">
        <v>0.86803920000000001</v>
      </c>
      <c r="D194" s="3">
        <v>-3.1888625543645598E-2</v>
      </c>
      <c r="E194" s="20">
        <f t="shared" si="20"/>
        <v>0.94580989266849969</v>
      </c>
      <c r="F194" s="20">
        <f t="shared" si="21"/>
        <v>-1.785499605065048E-3</v>
      </c>
      <c r="G194" s="3">
        <f t="shared" si="15"/>
        <v>-8.660224148792578E-2</v>
      </c>
      <c r="H194" s="20">
        <f t="shared" si="16"/>
        <v>0.84952268818202481</v>
      </c>
      <c r="I194" s="20">
        <f t="shared" si="17"/>
        <v>1.8516511817975201E-2</v>
      </c>
      <c r="J194" s="20">
        <f t="shared" si="18"/>
        <v>3.428612099052153E-4</v>
      </c>
      <c r="K194" s="21">
        <f t="shared" si="19"/>
        <v>2.1331423532457059</v>
      </c>
    </row>
    <row r="195" spans="2:11" x14ac:dyDescent="0.25">
      <c r="B195" s="3">
        <v>189</v>
      </c>
      <c r="C195" s="3">
        <v>0.96346690000000001</v>
      </c>
      <c r="D195" s="3">
        <v>0.20664284616570699</v>
      </c>
      <c r="E195" s="20">
        <f t="shared" si="20"/>
        <v>0.98594041309203484</v>
      </c>
      <c r="F195" s="20">
        <f t="shared" si="21"/>
        <v>1.5102052025628117E-4</v>
      </c>
      <c r="G195" s="3">
        <f t="shared" si="15"/>
        <v>-7.7593636460844967E-2</v>
      </c>
      <c r="H195" s="20">
        <f t="shared" si="16"/>
        <v>0.84790026082547498</v>
      </c>
      <c r="I195" s="20">
        <f t="shared" si="17"/>
        <v>0.11556663917452503</v>
      </c>
      <c r="J195" s="20">
        <f t="shared" si="18"/>
        <v>1.3355648090094863E-2</v>
      </c>
      <c r="K195" s="21">
        <f t="shared" si="19"/>
        <v>11.994873843047959</v>
      </c>
    </row>
    <row r="196" spans="2:11" x14ac:dyDescent="0.25">
      <c r="B196" s="4">
        <v>190</v>
      </c>
      <c r="C196" s="3">
        <v>1.071761</v>
      </c>
      <c r="D196" s="3">
        <v>0.50639427733435105</v>
      </c>
      <c r="E196" s="20">
        <f t="shared" si="20"/>
        <v>1.0464584627573563</v>
      </c>
      <c r="F196" s="20">
        <f t="shared" si="21"/>
        <v>2.9399772667582933E-3</v>
      </c>
      <c r="G196" s="3">
        <f t="shared" si="15"/>
        <v>-5.4080908313832721E-2</v>
      </c>
      <c r="H196" s="20">
        <f t="shared" si="16"/>
        <v>0.90532309223858476</v>
      </c>
      <c r="I196" s="20">
        <f t="shared" si="17"/>
        <v>0.1664379077614152</v>
      </c>
      <c r="J196" s="20">
        <f t="shared" si="18"/>
        <v>2.7701577139997356E-2</v>
      </c>
      <c r="K196" s="21">
        <f t="shared" si="19"/>
        <v>15.529386473422266</v>
      </c>
    </row>
    <row r="197" spans="2:11" x14ac:dyDescent="0.25">
      <c r="B197" s="3">
        <v>191</v>
      </c>
      <c r="C197" s="3">
        <v>1.4402488</v>
      </c>
      <c r="D197" s="3">
        <v>1.80762233765113</v>
      </c>
      <c r="E197" s="20">
        <f t="shared" si="20"/>
        <v>1.0337722158490967</v>
      </c>
      <c r="F197" s="20">
        <f t="shared" si="21"/>
        <v>2.2180457098724669E-3</v>
      </c>
      <c r="G197" s="3">
        <f t="shared" si="15"/>
        <v>0.42702527660137868</v>
      </c>
      <c r="H197" s="20">
        <f t="shared" si="16"/>
        <v>1.4833318553488226</v>
      </c>
      <c r="I197" s="20">
        <f t="shared" si="17"/>
        <v>4.3083055348822619E-2</v>
      </c>
      <c r="J197" s="20">
        <f t="shared" si="18"/>
        <v>1.8561496581897133E-3</v>
      </c>
      <c r="K197" s="21">
        <f t="shared" si="19"/>
        <v>2.9913620027888665</v>
      </c>
    </row>
    <row r="198" spans="2:11" x14ac:dyDescent="0.25">
      <c r="B198" s="4">
        <v>192</v>
      </c>
      <c r="C198" s="3">
        <v>0.51503829999999995</v>
      </c>
      <c r="D198" s="3">
        <v>-0.74042109218128105</v>
      </c>
      <c r="E198" s="20">
        <f t="shared" si="20"/>
        <v>1.0278384802431664</v>
      </c>
      <c r="F198" s="20">
        <f t="shared" si="21"/>
        <v>1.8414334130823762E-3</v>
      </c>
      <c r="G198" s="3">
        <f t="shared" si="15"/>
        <v>-0.50208047948207257</v>
      </c>
      <c r="H198" s="20">
        <f t="shared" si="16"/>
        <v>0.53751357244500353</v>
      </c>
      <c r="I198" s="20">
        <f t="shared" si="17"/>
        <v>2.247527244500358E-2</v>
      </c>
      <c r="J198" s="20">
        <f t="shared" si="18"/>
        <v>5.0513787147713721E-4</v>
      </c>
      <c r="K198" s="21">
        <f t="shared" si="19"/>
        <v>4.3638060402505179</v>
      </c>
    </row>
    <row r="199" spans="2:11" x14ac:dyDescent="0.25">
      <c r="B199" s="3">
        <v>193</v>
      </c>
      <c r="C199" s="3">
        <v>0.84313139999999998</v>
      </c>
      <c r="D199" s="3">
        <v>-9.04920006391704E-2</v>
      </c>
      <c r="E199" s="20">
        <f t="shared" si="20"/>
        <v>1.0040419652221604</v>
      </c>
      <c r="F199" s="20">
        <f t="shared" si="21"/>
        <v>6.5696019542749368E-4</v>
      </c>
      <c r="G199" s="3">
        <f t="shared" si="15"/>
        <v>-0.12719632232300415</v>
      </c>
      <c r="H199" s="20">
        <f t="shared" si="16"/>
        <v>0.91381777561094057</v>
      </c>
      <c r="I199" s="20">
        <f t="shared" si="17"/>
        <v>7.0686375610940599E-2</v>
      </c>
      <c r="J199" s="20">
        <f t="shared" si="18"/>
        <v>4.9965636970109783E-3</v>
      </c>
      <c r="K199" s="21">
        <f t="shared" si="19"/>
        <v>8.3837911399030567</v>
      </c>
    </row>
    <row r="200" spans="2:11" x14ac:dyDescent="0.25">
      <c r="B200" s="4">
        <v>194</v>
      </c>
      <c r="C200" s="3">
        <v>0.87565669999999995</v>
      </c>
      <c r="D200" s="3">
        <v>-1.36724581555732E-2</v>
      </c>
      <c r="E200" s="20">
        <f t="shared" si="20"/>
        <v>0.98006719386564833</v>
      </c>
      <c r="F200" s="20">
        <f t="shared" si="21"/>
        <v>-4.8102580227211305E-4</v>
      </c>
      <c r="G200" s="3">
        <f t="shared" si="15"/>
        <v>-7.2019439538354615E-2</v>
      </c>
      <c r="H200" s="20">
        <f t="shared" si="16"/>
        <v>0.94356883551678961</v>
      </c>
      <c r="I200" s="20">
        <f t="shared" si="17"/>
        <v>6.7912135516789651E-2</v>
      </c>
      <c r="J200" s="20">
        <f t="shared" si="18"/>
        <v>4.6120581504508025E-3</v>
      </c>
      <c r="K200" s="21">
        <f t="shared" si="19"/>
        <v>7.7555662529378981</v>
      </c>
    </row>
    <row r="201" spans="2:11" x14ac:dyDescent="0.25">
      <c r="B201" s="3">
        <v>195</v>
      </c>
      <c r="C201" s="3">
        <v>0.93733829999999996</v>
      </c>
      <c r="D201" s="3">
        <v>0.13905292368836</v>
      </c>
      <c r="E201" s="20">
        <f t="shared" si="20"/>
        <v>0.99784968232622084</v>
      </c>
      <c r="F201" s="20">
        <f t="shared" si="21"/>
        <v>3.6274855667130847E-4</v>
      </c>
      <c r="G201" s="3">
        <f t="shared" si="15"/>
        <v>-8.452814628971593E-2</v>
      </c>
      <c r="H201" s="20">
        <f t="shared" si="16"/>
        <v>0.88698397338614643</v>
      </c>
      <c r="I201" s="20">
        <f t="shared" si="17"/>
        <v>5.0354326613853528E-2</v>
      </c>
      <c r="J201" s="20">
        <f t="shared" si="18"/>
        <v>2.5355582087346379E-3</v>
      </c>
      <c r="K201" s="21">
        <f t="shared" si="19"/>
        <v>5.3720547441466469</v>
      </c>
    </row>
    <row r="202" spans="2:11" x14ac:dyDescent="0.25">
      <c r="B202" s="4">
        <v>196</v>
      </c>
      <c r="C202" s="3">
        <v>0.77624210000000005</v>
      </c>
      <c r="D202" s="3">
        <v>-0.24083372074979201</v>
      </c>
      <c r="E202" s="20">
        <f t="shared" si="20"/>
        <v>0.94163872110592362</v>
      </c>
      <c r="F202" s="20">
        <f t="shared" si="21"/>
        <v>-2.2509568350246381E-3</v>
      </c>
      <c r="G202" s="3">
        <f t="shared" si="15"/>
        <v>-9.1001440928749108E-2</v>
      </c>
      <c r="H202" s="20">
        <f t="shared" si="16"/>
        <v>0.93222144870959078</v>
      </c>
      <c r="I202" s="20">
        <f t="shared" si="17"/>
        <v>0.15597934870959074</v>
      </c>
      <c r="J202" s="20">
        <f t="shared" si="18"/>
        <v>2.4329557223868106E-2</v>
      </c>
      <c r="K202" s="21">
        <f t="shared" si="19"/>
        <v>20.094162466785907</v>
      </c>
    </row>
    <row r="203" spans="2:11" x14ac:dyDescent="0.25">
      <c r="B203" s="3">
        <v>197</v>
      </c>
      <c r="C203" s="3">
        <v>0.86029219999999995</v>
      </c>
      <c r="D203" s="3">
        <v>-5.0272414665877597E-2</v>
      </c>
      <c r="E203" s="20">
        <f t="shared" si="20"/>
        <v>0.94719139946339692</v>
      </c>
      <c r="F203" s="20">
        <f t="shared" si="21"/>
        <v>-1.8904288891312328E-3</v>
      </c>
      <c r="G203" s="3">
        <f t="shared" si="15"/>
        <v>-9.7161083445754609E-2</v>
      </c>
      <c r="H203" s="20">
        <f t="shared" si="16"/>
        <v>0.83877680106838171</v>
      </c>
      <c r="I203" s="20">
        <f t="shared" si="17"/>
        <v>2.1515398931618246E-2</v>
      </c>
      <c r="J203" s="20">
        <f t="shared" si="18"/>
        <v>4.6291239118667957E-4</v>
      </c>
      <c r="K203" s="21">
        <f t="shared" si="19"/>
        <v>2.5009408351741707</v>
      </c>
    </row>
    <row r="204" spans="2:11" x14ac:dyDescent="0.25">
      <c r="B204" s="4">
        <v>198</v>
      </c>
      <c r="C204" s="3">
        <v>1.0027936</v>
      </c>
      <c r="D204" s="3">
        <v>0.31176248001510098</v>
      </c>
      <c r="E204" s="20">
        <f t="shared" si="20"/>
        <v>0.90807691259283474</v>
      </c>
      <c r="F204" s="20">
        <f t="shared" si="21"/>
        <v>-3.6101803678733426E-3</v>
      </c>
      <c r="G204" s="3">
        <f t="shared" si="15"/>
        <v>0.14366681833143305</v>
      </c>
      <c r="H204" s="20">
        <f t="shared" si="16"/>
        <v>1.1054240328134295</v>
      </c>
      <c r="I204" s="20">
        <f t="shared" si="17"/>
        <v>0.10263043281342954</v>
      </c>
      <c r="J204" s="20">
        <f t="shared" si="18"/>
        <v>1.0533005739471874E-2</v>
      </c>
      <c r="K204" s="21">
        <f t="shared" si="19"/>
        <v>10.23445231535478</v>
      </c>
    </row>
    <row r="205" spans="2:11" x14ac:dyDescent="0.25">
      <c r="B205" s="3">
        <v>199</v>
      </c>
      <c r="C205" s="3">
        <v>0.8587108</v>
      </c>
      <c r="D205" s="3">
        <v>-5.4007736326876797E-2</v>
      </c>
      <c r="E205" s="20">
        <f t="shared" si="20"/>
        <v>0.96814350615654665</v>
      </c>
      <c r="F205" s="20">
        <f t="shared" si="21"/>
        <v>-6.6831341223410386E-4</v>
      </c>
      <c r="G205" s="3">
        <f t="shared" si="15"/>
        <v>-0.19316851009122224</v>
      </c>
      <c r="H205" s="20">
        <f t="shared" si="16"/>
        <v>0.68314759643897116</v>
      </c>
      <c r="I205" s="20">
        <f t="shared" si="17"/>
        <v>0.17556320356102884</v>
      </c>
      <c r="J205" s="20">
        <f t="shared" si="18"/>
        <v>3.0822438444611248E-2</v>
      </c>
      <c r="K205" s="21">
        <f t="shared" si="19"/>
        <v>20.444974438545415</v>
      </c>
    </row>
    <row r="206" spans="2:11" x14ac:dyDescent="0.25">
      <c r="B206" s="4">
        <v>200</v>
      </c>
      <c r="C206" s="3">
        <v>0.75229100000000004</v>
      </c>
      <c r="D206" s="3">
        <v>-0.29226818591660902</v>
      </c>
      <c r="E206" s="20">
        <f t="shared" si="20"/>
        <v>0.92083851902362113</v>
      </c>
      <c r="F206" s="20">
        <f t="shared" si="21"/>
        <v>-2.8229277381300474E-3</v>
      </c>
      <c r="G206" s="3">
        <f t="shared" si="15"/>
        <v>-0.10721967331590671</v>
      </c>
      <c r="H206" s="20">
        <f t="shared" si="16"/>
        <v>0.88087295125638687</v>
      </c>
      <c r="I206" s="20">
        <f t="shared" si="17"/>
        <v>0.12858195125638683</v>
      </c>
      <c r="J206" s="20">
        <f t="shared" si="18"/>
        <v>1.6533318188899838E-2</v>
      </c>
      <c r="K206" s="21">
        <f t="shared" si="19"/>
        <v>17.092049653177668</v>
      </c>
    </row>
    <row r="207" spans="2:11" x14ac:dyDescent="0.25">
      <c r="B207" s="3">
        <v>201</v>
      </c>
      <c r="C207" s="3">
        <v>0.85844410000000004</v>
      </c>
      <c r="D207" s="3">
        <v>-5.4637020422787397E-2</v>
      </c>
      <c r="E207" s="20">
        <f t="shared" si="20"/>
        <v>0.92455222334059184</v>
      </c>
      <c r="F207" s="20">
        <f t="shared" si="21"/>
        <v>-2.5209353371843921E-3</v>
      </c>
      <c r="G207" s="3">
        <f t="shared" si="15"/>
        <v>-7.4703881359789268E-2</v>
      </c>
      <c r="H207" s="20">
        <f t="shared" si="16"/>
        <v>0.8404219548246461</v>
      </c>
      <c r="I207" s="20">
        <f t="shared" si="17"/>
        <v>1.8022145175353943E-2</v>
      </c>
      <c r="J207" s="20">
        <f t="shared" si="18"/>
        <v>3.247977167215334E-4</v>
      </c>
      <c r="K207" s="21">
        <f t="shared" si="19"/>
        <v>2.0993964750126355</v>
      </c>
    </row>
    <row r="208" spans="2:11" x14ac:dyDescent="0.25">
      <c r="B208" s="4">
        <v>202</v>
      </c>
      <c r="C208" s="3">
        <v>0.88748119999999997</v>
      </c>
      <c r="D208" s="3">
        <v>1.4880043740073901E-2</v>
      </c>
      <c r="E208" s="20">
        <f t="shared" si="20"/>
        <v>0.92911511652999867</v>
      </c>
      <c r="F208" s="20">
        <f t="shared" si="21"/>
        <v>-2.1936624592558771E-3</v>
      </c>
      <c r="G208" s="3">
        <f t="shared" si="15"/>
        <v>-5.0949245181020078E-2</v>
      </c>
      <c r="H208" s="20">
        <f t="shared" si="16"/>
        <v>0.86795037968957478</v>
      </c>
      <c r="I208" s="20">
        <f t="shared" si="17"/>
        <v>1.953082031042519E-2</v>
      </c>
      <c r="J208" s="20">
        <f t="shared" si="18"/>
        <v>3.814529419981171E-4</v>
      </c>
      <c r="K208" s="21">
        <f t="shared" si="19"/>
        <v>2.2007024273218621</v>
      </c>
    </row>
    <row r="209" spans="2:11" ht="14.25" customHeight="1" x14ac:dyDescent="0.25">
      <c r="B209" s="3">
        <v>203</v>
      </c>
      <c r="C209" s="3">
        <v>1.4362372999999999</v>
      </c>
      <c r="D209" s="3">
        <v>1.7907206060415199</v>
      </c>
      <c r="E209" s="20">
        <f t="shared" si="20"/>
        <v>0.95676824356596435</v>
      </c>
      <c r="F209" s="20">
        <f t="shared" si="21"/>
        <v>-8.1474078457664171E-4</v>
      </c>
      <c r="G209" s="3">
        <f t="shared" si="15"/>
        <v>0.44022013160727513</v>
      </c>
      <c r="H209" s="20">
        <f t="shared" si="16"/>
        <v>1.3539467306721216</v>
      </c>
      <c r="I209" s="20">
        <f t="shared" si="17"/>
        <v>8.2290569327878371E-2</v>
      </c>
      <c r="J209" s="20">
        <f t="shared" si="18"/>
        <v>6.7717378003063567E-3</v>
      </c>
      <c r="K209" s="21">
        <f t="shared" si="19"/>
        <v>5.7295942201110064</v>
      </c>
    </row>
    <row r="210" spans="2:11" x14ac:dyDescent="0.25">
      <c r="B210" s="4">
        <v>204</v>
      </c>
      <c r="C210" s="3">
        <v>0.45200000000000001</v>
      </c>
      <c r="D210" s="3">
        <v>-9.5789555933411999E-2</v>
      </c>
      <c r="E210" s="20">
        <f t="shared" si="20"/>
        <v>0.95527415723072617</v>
      </c>
      <c r="F210" s="20">
        <f t="shared" si="21"/>
        <v>-8.4612654901720452E-4</v>
      </c>
      <c r="G210" s="3">
        <f t="shared" si="15"/>
        <v>-0.50238080880363378</v>
      </c>
      <c r="H210" s="20">
        <f t="shared" si="16"/>
        <v>0.45387302329931511</v>
      </c>
      <c r="I210" s="20">
        <f t="shared" si="17"/>
        <v>1.8730232993151019E-3</v>
      </c>
      <c r="J210" s="20">
        <f t="shared" si="18"/>
        <v>3.5082162797772298E-6</v>
      </c>
      <c r="K210" s="21">
        <f t="shared" si="19"/>
        <v>0.41438568568918183</v>
      </c>
    </row>
    <row r="211" spans="2:11" x14ac:dyDescent="0.25">
      <c r="B211" s="3">
        <v>205</v>
      </c>
      <c r="C211" s="3">
        <v>0.84084890000000001</v>
      </c>
      <c r="D211" s="3">
        <v>0.21703877625210299</v>
      </c>
      <c r="E211" s="20">
        <f t="shared" si="20"/>
        <v>0.95936698609000681</v>
      </c>
      <c r="F211" s="20">
        <f t="shared" si="21"/>
        <v>-6.1794680915384416E-4</v>
      </c>
      <c r="G211" s="3">
        <f t="shared" si="15"/>
        <v>-0.12501287808678202</v>
      </c>
      <c r="H211" s="20">
        <f t="shared" si="16"/>
        <v>0.82723170835870485</v>
      </c>
      <c r="I211" s="20">
        <f t="shared" si="17"/>
        <v>1.3617191641295157E-2</v>
      </c>
      <c r="J211" s="20">
        <f t="shared" si="18"/>
        <v>1.8542790819575867E-4</v>
      </c>
      <c r="K211" s="21">
        <f t="shared" si="19"/>
        <v>1.6194576268453411</v>
      </c>
    </row>
    <row r="212" spans="2:11" x14ac:dyDescent="0.25">
      <c r="B212" s="4">
        <v>206</v>
      </c>
      <c r="C212" s="3">
        <v>0.9674258</v>
      </c>
      <c r="D212" s="3">
        <v>-0.434960406115453</v>
      </c>
      <c r="E212" s="20">
        <f t="shared" si="20"/>
        <v>0.98801755111424883</v>
      </c>
      <c r="F212" s="20">
        <f t="shared" si="21"/>
        <v>7.3425843754904442E-4</v>
      </c>
      <c r="G212" s="3">
        <f t="shared" ref="G212:G275" si="22">$H$3*(C212-E212)+(1-$H$3)*G200</f>
        <v>-5.9080233130849598E-2</v>
      </c>
      <c r="H212" s="20">
        <f t="shared" ref="H212:H275" si="23">E211+F211+G200</f>
        <v>0.88672959974249832</v>
      </c>
      <c r="I212" s="20">
        <f t="shared" ref="I212:I275" si="24">ABS(C212-H212)</f>
        <v>8.0696200257501682E-2</v>
      </c>
      <c r="J212" s="20">
        <f t="shared" ref="J212:J275" si="25">(C212-H212)^2</f>
        <v>6.5118767359988146E-3</v>
      </c>
      <c r="K212" s="21">
        <f t="shared" ref="K212:K275" si="26">ABS((C212 - H212) / C212) * 100</f>
        <v>8.341332250752636</v>
      </c>
    </row>
    <row r="213" spans="2:11" x14ac:dyDescent="0.25">
      <c r="B213" s="3">
        <v>207</v>
      </c>
      <c r="C213" s="3">
        <v>0.68267420000000001</v>
      </c>
      <c r="D213" s="3">
        <v>0.31972846307112601</v>
      </c>
      <c r="E213" s="20">
        <f t="shared" si="20"/>
        <v>0.90839581922664081</v>
      </c>
      <c r="F213" s="20">
        <f t="shared" si="21"/>
        <v>-2.9781883154732115E-3</v>
      </c>
      <c r="G213" s="3">
        <f t="shared" si="22"/>
        <v>-0.12005242408064622</v>
      </c>
      <c r="H213" s="20">
        <f t="shared" si="23"/>
        <v>0.90422366326208192</v>
      </c>
      <c r="I213" s="20">
        <f t="shared" si="24"/>
        <v>0.22154946326208191</v>
      </c>
      <c r="J213" s="20">
        <f t="shared" si="25"/>
        <v>4.9084164671716585E-2</v>
      </c>
      <c r="K213" s="21">
        <f t="shared" si="26"/>
        <v>32.453176531657697</v>
      </c>
    </row>
    <row r="214" spans="2:11" x14ac:dyDescent="0.25">
      <c r="B214" s="4">
        <v>208</v>
      </c>
      <c r="C214" s="3">
        <v>1.0057117</v>
      </c>
      <c r="D214" s="3">
        <v>0.245379136096882</v>
      </c>
      <c r="E214" s="20">
        <f t="shared" si="20"/>
        <v>0.97480051239454446</v>
      </c>
      <c r="F214" s="20">
        <f t="shared" si="21"/>
        <v>2.2730080905879971E-4</v>
      </c>
      <c r="G214" s="3">
        <f t="shared" si="22"/>
        <v>-6.0328223589543213E-2</v>
      </c>
      <c r="H214" s="20">
        <f t="shared" si="23"/>
        <v>0.81441618998241849</v>
      </c>
      <c r="I214" s="20">
        <f t="shared" si="24"/>
        <v>0.19129551001758149</v>
      </c>
      <c r="J214" s="20">
        <f t="shared" si="25"/>
        <v>3.6593972152886622E-2</v>
      </c>
      <c r="K214" s="21">
        <f t="shared" si="26"/>
        <v>19.020909274256379</v>
      </c>
    </row>
    <row r="215" spans="2:11" x14ac:dyDescent="0.25">
      <c r="B215" s="3">
        <v>209</v>
      </c>
      <c r="C215" s="3">
        <v>0.97813919999999999</v>
      </c>
      <c r="D215" s="3">
        <v>0.98610145076896805</v>
      </c>
      <c r="E215" s="20">
        <f t="shared" ref="E215:E278" si="27">$F$3 * (C215 - G203) + (1 - $F$3) * (E214 + F214)</f>
        <v>1.0113966381604316</v>
      </c>
      <c r="F215" s="20">
        <f t="shared" ref="F215:F278" si="28">$G$3 * (E215 - E214) + (1 - $G$3) * F214</f>
        <v>1.9075405220642676E-3</v>
      </c>
      <c r="G215" s="3">
        <f t="shared" si="22"/>
        <v>-8.1082926291967325E-2</v>
      </c>
      <c r="H215" s="20">
        <f t="shared" si="23"/>
        <v>0.87786672975784863</v>
      </c>
      <c r="I215" s="20">
        <f t="shared" si="24"/>
        <v>0.10027247024215136</v>
      </c>
      <c r="J215" s="20">
        <f t="shared" si="25"/>
        <v>1.005456828846313E-2</v>
      </c>
      <c r="K215" s="21">
        <f t="shared" si="26"/>
        <v>10.251349730401497</v>
      </c>
    </row>
    <row r="216" spans="2:11" x14ac:dyDescent="0.25">
      <c r="B216" s="4">
        <v>210</v>
      </c>
      <c r="C216" s="3">
        <v>1.2238416999999999</v>
      </c>
      <c r="D216" s="3">
        <v>7.94356333039236E-3</v>
      </c>
      <c r="E216" s="20">
        <f t="shared" si="27"/>
        <v>1.0375581826555438</v>
      </c>
      <c r="F216" s="20">
        <f t="shared" si="28"/>
        <v>3.0280755056190825E-3</v>
      </c>
      <c r="G216" s="3">
        <f t="shared" si="22"/>
        <v>0.15438917980310965</v>
      </c>
      <c r="H216" s="20">
        <f t="shared" si="23"/>
        <v>1.156970997013929</v>
      </c>
      <c r="I216" s="20">
        <f t="shared" si="24"/>
        <v>6.6870702986070896E-2</v>
      </c>
      <c r="J216" s="20">
        <f t="shared" si="25"/>
        <v>4.471690917851311E-3</v>
      </c>
      <c r="K216" s="21">
        <f t="shared" si="26"/>
        <v>5.4639993870180188</v>
      </c>
    </row>
    <row r="217" spans="2:11" x14ac:dyDescent="0.25">
      <c r="B217" s="3">
        <v>211</v>
      </c>
      <c r="C217" s="3">
        <v>0.8846214</v>
      </c>
      <c r="D217" s="3">
        <v>-0.20617363686870899</v>
      </c>
      <c r="E217" s="20">
        <f t="shared" si="27"/>
        <v>1.0540800227161955</v>
      </c>
      <c r="F217" s="20">
        <f t="shared" si="28"/>
        <v>3.6514874280615898E-3</v>
      </c>
      <c r="G217" s="3">
        <f t="shared" si="22"/>
        <v>-0.1872031024276655</v>
      </c>
      <c r="H217" s="20">
        <f t="shared" si="23"/>
        <v>0.84741774806994064</v>
      </c>
      <c r="I217" s="20">
        <f t="shared" si="24"/>
        <v>3.7203651930059367E-2</v>
      </c>
      <c r="J217" s="20">
        <f t="shared" si="25"/>
        <v>1.3841117169330101E-3</v>
      </c>
      <c r="K217" s="21">
        <f t="shared" si="26"/>
        <v>4.2056016200896069</v>
      </c>
    </row>
    <row r="218" spans="2:11" x14ac:dyDescent="0.25">
      <c r="B218" s="4">
        <v>212</v>
      </c>
      <c r="C218" s="3">
        <v>0.79206449999999995</v>
      </c>
      <c r="D218" s="3">
        <v>-4.3030612001045597E-2</v>
      </c>
      <c r="E218" s="20">
        <f t="shared" si="27"/>
        <v>1.0002626610766143</v>
      </c>
      <c r="F218" s="20">
        <f t="shared" si="28"/>
        <v>9.9642660113649422E-4</v>
      </c>
      <c r="G218" s="3">
        <f t="shared" si="22"/>
        <v>-0.13262586083650074</v>
      </c>
      <c r="H218" s="20">
        <f t="shared" si="23"/>
        <v>0.95051183682835028</v>
      </c>
      <c r="I218" s="20">
        <f t="shared" si="24"/>
        <v>0.15844733682835033</v>
      </c>
      <c r="J218" s="20">
        <f t="shared" si="25"/>
        <v>2.51055585479967E-2</v>
      </c>
      <c r="K218" s="21">
        <f t="shared" si="26"/>
        <v>20.004347730311149</v>
      </c>
    </row>
    <row r="219" spans="2:11" x14ac:dyDescent="0.25">
      <c r="B219" s="3">
        <v>213</v>
      </c>
      <c r="C219" s="3">
        <v>0.86335110000000004</v>
      </c>
      <c r="D219" s="3">
        <v>-1.36894847584193E-2</v>
      </c>
      <c r="E219" s="20">
        <f t="shared" si="27"/>
        <v>0.97833495831622608</v>
      </c>
      <c r="F219" s="20">
        <f t="shared" si="28"/>
        <v>-6.2668175365948749E-5</v>
      </c>
      <c r="G219" s="3">
        <f t="shared" si="22"/>
        <v>-8.483832356202875E-2</v>
      </c>
      <c r="H219" s="20">
        <f t="shared" si="23"/>
        <v>0.92655520631796151</v>
      </c>
      <c r="I219" s="20">
        <f t="shared" si="24"/>
        <v>6.3204106317961473E-2</v>
      </c>
      <c r="J219" s="20">
        <f t="shared" si="25"/>
        <v>3.9947590554521772E-3</v>
      </c>
      <c r="K219" s="21">
        <f t="shared" si="26"/>
        <v>7.3207883001436462</v>
      </c>
    </row>
    <row r="220" spans="2:11" ht="15.75" customHeight="1" x14ac:dyDescent="0.25">
      <c r="B220" s="4">
        <v>214</v>
      </c>
      <c r="C220" s="3">
        <v>0.87564969999999998</v>
      </c>
      <c r="D220" s="3">
        <v>1.88721568348969</v>
      </c>
      <c r="E220" s="20">
        <f t="shared" si="27"/>
        <v>0.95953036792392621</v>
      </c>
      <c r="F220" s="20">
        <f t="shared" si="28"/>
        <v>-9.2854498178829585E-4</v>
      </c>
      <c r="G220" s="3">
        <f t="shared" si="22"/>
        <v>-5.9234791143135263E-2</v>
      </c>
      <c r="H220" s="20">
        <f t="shared" si="23"/>
        <v>0.92732304495984008</v>
      </c>
      <c r="I220" s="20">
        <f t="shared" si="24"/>
        <v>5.1673344959840106E-2</v>
      </c>
      <c r="J220" s="20">
        <f t="shared" si="25"/>
        <v>2.6701345793386328E-3</v>
      </c>
      <c r="K220" s="21">
        <f t="shared" si="26"/>
        <v>5.9011434549500912</v>
      </c>
    </row>
    <row r="221" spans="2:11" x14ac:dyDescent="0.25">
      <c r="B221" s="3">
        <v>215</v>
      </c>
      <c r="C221" s="3">
        <v>1.4589265</v>
      </c>
      <c r="D221" s="3">
        <v>-0.81166425826388899</v>
      </c>
      <c r="E221" s="20">
        <f t="shared" si="27"/>
        <v>0.98040174157706583</v>
      </c>
      <c r="F221" s="20">
        <f t="shared" si="28"/>
        <v>7.8611259145374129E-5</v>
      </c>
      <c r="G221" s="3">
        <f t="shared" si="22"/>
        <v>0.44985757571409496</v>
      </c>
      <c r="H221" s="20">
        <f t="shared" si="23"/>
        <v>1.3988219545494132</v>
      </c>
      <c r="I221" s="20">
        <f t="shared" si="24"/>
        <v>6.0104545450586855E-2</v>
      </c>
      <c r="J221" s="20">
        <f t="shared" si="25"/>
        <v>3.6125563838216609E-3</v>
      </c>
      <c r="K221" s="21">
        <f t="shared" si="26"/>
        <v>4.1197788545609981</v>
      </c>
    </row>
    <row r="222" spans="2:11" x14ac:dyDescent="0.25">
      <c r="B222" s="4">
        <v>216</v>
      </c>
      <c r="C222" s="3">
        <v>0.4715396</v>
      </c>
      <c r="D222" s="3">
        <v>-0.20078894498172301</v>
      </c>
      <c r="E222" s="20">
        <f t="shared" si="27"/>
        <v>0.97810106113559525</v>
      </c>
      <c r="F222" s="20">
        <f t="shared" si="28"/>
        <v>-3.1312017423083024E-5</v>
      </c>
      <c r="G222" s="3">
        <f t="shared" si="22"/>
        <v>-0.50343266093035521</v>
      </c>
      <c r="H222" s="20">
        <f t="shared" si="23"/>
        <v>0.47809954403257737</v>
      </c>
      <c r="I222" s="20">
        <f t="shared" si="24"/>
        <v>6.5599440325773695E-3</v>
      </c>
      <c r="J222" s="20">
        <f t="shared" si="25"/>
        <v>4.3032865710547442E-5</v>
      </c>
      <c r="K222" s="21">
        <f t="shared" si="26"/>
        <v>1.3911756366967631</v>
      </c>
    </row>
    <row r="223" spans="2:11" x14ac:dyDescent="0.25">
      <c r="B223" s="3">
        <v>217</v>
      </c>
      <c r="C223" s="3">
        <v>0.79450030000000005</v>
      </c>
      <c r="D223" s="3">
        <v>0.119334517755028</v>
      </c>
      <c r="E223" s="20">
        <f t="shared" si="27"/>
        <v>0.95683128080508695</v>
      </c>
      <c r="F223" s="20">
        <f t="shared" si="28"/>
        <v>-1.0125292534876203E-3</v>
      </c>
      <c r="G223" s="3">
        <f t="shared" si="22"/>
        <v>-0.13440211273070751</v>
      </c>
      <c r="H223" s="20">
        <f t="shared" si="23"/>
        <v>0.85305687103139016</v>
      </c>
      <c r="I223" s="20">
        <f t="shared" si="24"/>
        <v>5.8556571031390114E-2</v>
      </c>
      <c r="J223" s="20">
        <f t="shared" si="25"/>
        <v>3.4288720109542361E-3</v>
      </c>
      <c r="K223" s="21">
        <f t="shared" si="26"/>
        <v>7.3702390082659646</v>
      </c>
    </row>
    <row r="224" spans="2:11" x14ac:dyDescent="0.25">
      <c r="B224" s="4">
        <v>218</v>
      </c>
      <c r="C224" s="3">
        <v>0.92958529999999995</v>
      </c>
      <c r="D224" s="3">
        <v>8.9251880240048098E-2</v>
      </c>
      <c r="E224" s="20">
        <f t="shared" si="27"/>
        <v>0.96773227923039329</v>
      </c>
      <c r="F224" s="20">
        <f t="shared" si="28"/>
        <v>-4.6212427472733936E-4</v>
      </c>
      <c r="G224" s="3">
        <f t="shared" si="22"/>
        <v>-5.38134264494948E-2</v>
      </c>
      <c r="H224" s="20">
        <f t="shared" si="23"/>
        <v>0.8967385184207497</v>
      </c>
      <c r="I224" s="20">
        <f t="shared" si="24"/>
        <v>3.284678157925025E-2</v>
      </c>
      <c r="J224" s="20">
        <f t="shared" si="25"/>
        <v>1.0789110601149737E-3</v>
      </c>
      <c r="K224" s="21">
        <f t="shared" si="26"/>
        <v>3.533487629295585</v>
      </c>
    </row>
    <row r="225" spans="2:11" x14ac:dyDescent="0.25">
      <c r="B225" s="3">
        <v>219</v>
      </c>
      <c r="C225" s="3">
        <v>0.91764009999999996</v>
      </c>
      <c r="D225" s="3">
        <v>3.5740062446375301E-3</v>
      </c>
      <c r="E225" s="20">
        <f t="shared" si="27"/>
        <v>0.99281234823729636</v>
      </c>
      <c r="F225" s="20">
        <f t="shared" si="28"/>
        <v>7.1792505488398571E-4</v>
      </c>
      <c r="G225" s="3">
        <f t="shared" si="22"/>
        <v>-0.1087605718384594</v>
      </c>
      <c r="H225" s="20">
        <f t="shared" si="23"/>
        <v>0.84721773087501973</v>
      </c>
      <c r="I225" s="20">
        <f t="shared" si="24"/>
        <v>7.0422369124980233E-2</v>
      </c>
      <c r="J225" s="20">
        <f t="shared" si="25"/>
        <v>4.9593100731749693E-3</v>
      </c>
      <c r="K225" s="21">
        <f t="shared" si="26"/>
        <v>7.6742907295551097</v>
      </c>
    </row>
    <row r="226" spans="2:11" x14ac:dyDescent="0.25">
      <c r="B226" s="4">
        <v>220</v>
      </c>
      <c r="C226" s="3">
        <v>0.88281569999999998</v>
      </c>
      <c r="D226" s="3">
        <v>-5.72665825453905E-2</v>
      </c>
      <c r="E226" s="20">
        <f t="shared" si="27"/>
        <v>0.9752551442550339</v>
      </c>
      <c r="F226" s="20">
        <f t="shared" si="28"/>
        <v>-1.2638590663218005E-4</v>
      </c>
      <c r="G226" s="3">
        <f t="shared" si="22"/>
        <v>-6.840740670898067E-2</v>
      </c>
      <c r="H226" s="20">
        <f t="shared" si="23"/>
        <v>0.93320204970263709</v>
      </c>
      <c r="I226" s="20">
        <f t="shared" si="24"/>
        <v>5.0386349702637112E-2</v>
      </c>
      <c r="J226" s="20">
        <f t="shared" si="25"/>
        <v>2.5387842363564389E-3</v>
      </c>
      <c r="K226" s="21">
        <f t="shared" si="26"/>
        <v>5.7074596320202637</v>
      </c>
    </row>
    <row r="227" spans="2:11" x14ac:dyDescent="0.25">
      <c r="B227" s="3">
        <v>221</v>
      </c>
      <c r="C227" s="3">
        <v>0.85732900000000001</v>
      </c>
      <c r="D227" s="3">
        <v>0.58075105024668305</v>
      </c>
      <c r="E227" s="20">
        <f t="shared" si="27"/>
        <v>0.96181156336153295</v>
      </c>
      <c r="F227" s="20">
        <f t="shared" si="28"/>
        <v>-7.4164031502551718E-4</v>
      </c>
      <c r="G227" s="3">
        <f t="shared" si="22"/>
        <v>-8.6970274978670034E-2</v>
      </c>
      <c r="H227" s="20">
        <f t="shared" si="23"/>
        <v>0.8940458320564344</v>
      </c>
      <c r="I227" s="20">
        <f t="shared" si="24"/>
        <v>3.671683205643439E-2</v>
      </c>
      <c r="J227" s="20">
        <f t="shared" si="25"/>
        <v>1.348125756260408E-3</v>
      </c>
      <c r="K227" s="21">
        <f t="shared" si="26"/>
        <v>4.2827003468253597</v>
      </c>
    </row>
    <row r="228" spans="2:11" x14ac:dyDescent="0.25">
      <c r="B228" s="4">
        <v>222</v>
      </c>
      <c r="C228" s="3">
        <v>1.0969024000000001</v>
      </c>
      <c r="D228" s="3">
        <v>-9.8219947392601495E-2</v>
      </c>
      <c r="E228" s="20">
        <f t="shared" si="27"/>
        <v>0.95433940692295138</v>
      </c>
      <c r="F228" s="20">
        <f t="shared" si="28"/>
        <v>-1.0525901599338066E-3</v>
      </c>
      <c r="G228" s="3">
        <f t="shared" si="22"/>
        <v>0.1514137112228327</v>
      </c>
      <c r="H228" s="20">
        <f t="shared" si="23"/>
        <v>1.115459102849617</v>
      </c>
      <c r="I228" s="20">
        <f t="shared" si="24"/>
        <v>1.8556702849616968E-2</v>
      </c>
      <c r="J228" s="20">
        <f t="shared" si="25"/>
        <v>3.4435122064898249E-4</v>
      </c>
      <c r="K228" s="21">
        <f t="shared" si="26"/>
        <v>1.6917369174884627</v>
      </c>
    </row>
    <row r="229" spans="2:11" x14ac:dyDescent="0.25">
      <c r="B229" s="3">
        <v>223</v>
      </c>
      <c r="C229" s="3">
        <v>0.83979999999999999</v>
      </c>
      <c r="D229" s="3">
        <v>-0.48917147531558403</v>
      </c>
      <c r="E229" s="20">
        <f t="shared" si="27"/>
        <v>0.98002371357358542</v>
      </c>
      <c r="F229" s="20">
        <f t="shared" si="28"/>
        <v>1.8265447271442791E-4</v>
      </c>
      <c r="G229" s="3">
        <f t="shared" si="22"/>
        <v>-0.17538308819197895</v>
      </c>
      <c r="H229" s="20">
        <f t="shared" si="23"/>
        <v>0.76608371433535216</v>
      </c>
      <c r="I229" s="20">
        <f t="shared" si="24"/>
        <v>7.3716285664647829E-2</v>
      </c>
      <c r="J229" s="20">
        <f t="shared" si="25"/>
        <v>5.4340907721919631E-3</v>
      </c>
      <c r="K229" s="21">
        <f t="shared" si="26"/>
        <v>8.7778382548997183</v>
      </c>
    </row>
    <row r="230" spans="2:11" x14ac:dyDescent="0.25">
      <c r="B230" s="4">
        <v>224</v>
      </c>
      <c r="C230" s="3">
        <v>0.65490119999999996</v>
      </c>
      <c r="D230" s="3">
        <v>0.93868105684054903</v>
      </c>
      <c r="E230" s="20">
        <f t="shared" si="27"/>
        <v>0.91032158332130575</v>
      </c>
      <c r="F230" s="20">
        <f t="shared" si="28"/>
        <v>-3.0460225815802993E-3</v>
      </c>
      <c r="G230" s="3">
        <f t="shared" si="22"/>
        <v>-0.16352096269367769</v>
      </c>
      <c r="H230" s="20">
        <f t="shared" si="23"/>
        <v>0.84758050720979916</v>
      </c>
      <c r="I230" s="20">
        <f t="shared" si="24"/>
        <v>0.1926793072097992</v>
      </c>
      <c r="J230" s="20">
        <f t="shared" si="25"/>
        <v>3.7125315426848181E-2</v>
      </c>
      <c r="K230" s="21">
        <f t="shared" si="26"/>
        <v>29.421125997295348</v>
      </c>
    </row>
    <row r="231" spans="2:11" x14ac:dyDescent="0.25">
      <c r="B231" s="3">
        <v>225</v>
      </c>
      <c r="C231" s="3">
        <v>1.2097971999999999</v>
      </c>
      <c r="D231" s="3">
        <v>-2.6509298439830499E-2</v>
      </c>
      <c r="E231" s="20">
        <f t="shared" si="27"/>
        <v>1.0477710192553749</v>
      </c>
      <c r="F231" s="20">
        <f t="shared" si="28"/>
        <v>3.4448676018427032E-3</v>
      </c>
      <c r="G231" s="3">
        <f t="shared" si="22"/>
        <v>-2.2727214278474649E-2</v>
      </c>
      <c r="H231" s="20">
        <f t="shared" si="23"/>
        <v>0.82243723717769668</v>
      </c>
      <c r="I231" s="20">
        <f t="shared" si="24"/>
        <v>0.38735996282230323</v>
      </c>
      <c r="J231" s="20">
        <f t="shared" si="25"/>
        <v>0.15004774079769614</v>
      </c>
      <c r="K231" s="21">
        <f t="shared" si="26"/>
        <v>32.01858648890105</v>
      </c>
    </row>
    <row r="232" spans="2:11" x14ac:dyDescent="0.25">
      <c r="B232" s="4">
        <v>226</v>
      </c>
      <c r="C232" s="3">
        <v>0.87029469999999998</v>
      </c>
      <c r="D232" s="3">
        <v>1.99933285722695</v>
      </c>
      <c r="E232" s="20">
        <f t="shared" si="27"/>
        <v>1.0070802311317197</v>
      </c>
      <c r="F232" s="20">
        <f t="shared" si="28"/>
        <v>1.4058003073247039E-3</v>
      </c>
      <c r="G232" s="3">
        <f t="shared" si="22"/>
        <v>-7.8746557324263111E-2</v>
      </c>
      <c r="H232" s="20">
        <f t="shared" si="23"/>
        <v>0.99198109571408222</v>
      </c>
      <c r="I232" s="20">
        <f t="shared" si="24"/>
        <v>0.12168639571408224</v>
      </c>
      <c r="J232" s="20">
        <f t="shared" si="25"/>
        <v>1.4807578901884213E-2</v>
      </c>
      <c r="K232" s="21">
        <f t="shared" si="26"/>
        <v>13.982205764792344</v>
      </c>
    </row>
    <row r="233" spans="2:11" x14ac:dyDescent="0.25">
      <c r="B233" s="3">
        <v>227</v>
      </c>
      <c r="C233" s="3">
        <v>1.4846581999999999</v>
      </c>
      <c r="D233" s="3">
        <v>-0.76836512777164401</v>
      </c>
      <c r="E233" s="20">
        <f t="shared" si="27"/>
        <v>1.0180303342646007</v>
      </c>
      <c r="F233" s="20">
        <f t="shared" si="28"/>
        <v>1.8467470978654008E-3</v>
      </c>
      <c r="G233" s="3">
        <f t="shared" si="22"/>
        <v>0.45407698068345514</v>
      </c>
      <c r="H233" s="20">
        <f t="shared" si="23"/>
        <v>1.4583436071531395</v>
      </c>
      <c r="I233" s="20">
        <f t="shared" si="24"/>
        <v>2.6314592846860441E-2</v>
      </c>
      <c r="J233" s="20">
        <f t="shared" si="25"/>
        <v>6.9245779669603862E-4</v>
      </c>
      <c r="K233" s="21">
        <f t="shared" si="26"/>
        <v>1.7724344126385752</v>
      </c>
    </row>
    <row r="234" spans="2:11" x14ac:dyDescent="0.25">
      <c r="B234" s="4">
        <v>228</v>
      </c>
      <c r="C234" s="3">
        <v>0.49820140000000002</v>
      </c>
      <c r="D234" s="3">
        <v>6.5607666207791293E-2</v>
      </c>
      <c r="E234" s="20">
        <f t="shared" si="27"/>
        <v>1.0132603378517393</v>
      </c>
      <c r="F234" s="20">
        <f t="shared" si="28"/>
        <v>1.5410535476698245E-3</v>
      </c>
      <c r="G234" s="3">
        <f t="shared" si="22"/>
        <v>-0.50635783220377539</v>
      </c>
      <c r="H234" s="20">
        <f t="shared" si="23"/>
        <v>0.51644442043211081</v>
      </c>
      <c r="I234" s="20">
        <f t="shared" si="24"/>
        <v>1.824302043211079E-2</v>
      </c>
      <c r="J234" s="20">
        <f t="shared" si="25"/>
        <v>3.3280779448641179E-4</v>
      </c>
      <c r="K234" s="21">
        <f t="shared" si="26"/>
        <v>3.6617762278690487</v>
      </c>
    </row>
    <row r="235" spans="2:11" x14ac:dyDescent="0.25">
      <c r="B235" s="3">
        <v>229</v>
      </c>
      <c r="C235" s="3">
        <v>0.90815020000000002</v>
      </c>
      <c r="D235" s="3">
        <v>-2.2034191565356201E-2</v>
      </c>
      <c r="E235" s="20">
        <f t="shared" si="27"/>
        <v>1.0248666505662709</v>
      </c>
      <c r="F235" s="20">
        <f t="shared" si="28"/>
        <v>2.006068521178839E-3</v>
      </c>
      <c r="G235" s="3">
        <f t="shared" si="22"/>
        <v>-0.12995240013013526</v>
      </c>
      <c r="H235" s="20">
        <f t="shared" si="23"/>
        <v>0.8803992786687016</v>
      </c>
      <c r="I235" s="20">
        <f t="shared" si="24"/>
        <v>2.7750921331298417E-2</v>
      </c>
      <c r="J235" s="20">
        <f t="shared" si="25"/>
        <v>7.7011363473591346E-4</v>
      </c>
      <c r="K235" s="21">
        <f t="shared" si="26"/>
        <v>3.055763389282788</v>
      </c>
    </row>
    <row r="236" spans="2:11" x14ac:dyDescent="0.25">
      <c r="B236" s="4">
        <v>230</v>
      </c>
      <c r="C236" s="3">
        <v>0.87216729999999998</v>
      </c>
      <c r="D236" s="3">
        <v>1.1334623594837401</v>
      </c>
      <c r="E236" s="20">
        <f t="shared" si="27"/>
        <v>0.99027919335766357</v>
      </c>
      <c r="F236" s="20">
        <f t="shared" si="28"/>
        <v>3.1544763246271735E-4</v>
      </c>
      <c r="G236" s="3">
        <f t="shared" si="22"/>
        <v>-6.9990920723590061E-2</v>
      </c>
      <c r="H236" s="20">
        <f t="shared" si="23"/>
        <v>0.97305929263795499</v>
      </c>
      <c r="I236" s="20">
        <f t="shared" si="24"/>
        <v>0.10089199263795501</v>
      </c>
      <c r="J236" s="20">
        <f t="shared" si="25"/>
        <v>1.0179194178457168E-2</v>
      </c>
      <c r="K236" s="21">
        <f t="shared" si="26"/>
        <v>11.567963238011219</v>
      </c>
    </row>
    <row r="237" spans="2:11" x14ac:dyDescent="0.25">
      <c r="B237" s="3">
        <v>231</v>
      </c>
      <c r="C237" s="3">
        <v>1.2662674</v>
      </c>
      <c r="D237" s="3">
        <v>0.59676776767893303</v>
      </c>
      <c r="E237" s="20">
        <f t="shared" si="27"/>
        <v>1.1300286100888168</v>
      </c>
      <c r="F237" s="20">
        <f t="shared" si="28"/>
        <v>6.7572970048222205E-3</v>
      </c>
      <c r="G237" s="3">
        <f t="shared" si="22"/>
        <v>-4.7118732422249322E-2</v>
      </c>
      <c r="H237" s="20">
        <f t="shared" si="23"/>
        <v>0.88183406915166684</v>
      </c>
      <c r="I237" s="20">
        <f t="shared" si="24"/>
        <v>0.3844333308483332</v>
      </c>
      <c r="J237" s="20">
        <f t="shared" si="25"/>
        <v>0.14778898586714401</v>
      </c>
      <c r="K237" s="21">
        <f t="shared" si="26"/>
        <v>30.35956945968389</v>
      </c>
    </row>
    <row r="238" spans="2:11" x14ac:dyDescent="0.25">
      <c r="B238" s="4">
        <v>232</v>
      </c>
      <c r="C238" s="3">
        <v>1.1022362000000001</v>
      </c>
      <c r="D238" s="3">
        <v>7.2344826427980201E-3</v>
      </c>
      <c r="E238" s="20">
        <f t="shared" si="27"/>
        <v>1.1490660947441236</v>
      </c>
      <c r="F238" s="20">
        <f t="shared" si="28"/>
        <v>7.3246416742746056E-3</v>
      </c>
      <c r="G238" s="3">
        <f t="shared" si="22"/>
        <v>-6.2978504698622595E-2</v>
      </c>
      <c r="H238" s="20">
        <f t="shared" si="23"/>
        <v>1.0683785003846584</v>
      </c>
      <c r="I238" s="20">
        <f t="shared" si="24"/>
        <v>3.3857699615341685E-2</v>
      </c>
      <c r="J238" s="20">
        <f t="shared" si="25"/>
        <v>1.1463438232427086E-3</v>
      </c>
      <c r="K238" s="21">
        <f t="shared" si="26"/>
        <v>3.0717281482264585</v>
      </c>
    </row>
    <row r="239" spans="2:11" x14ac:dyDescent="0.25">
      <c r="B239" s="3">
        <v>233</v>
      </c>
      <c r="C239" s="3">
        <v>0.88432860000000002</v>
      </c>
      <c r="D239" s="3">
        <v>-0.17435062270221699</v>
      </c>
      <c r="E239" s="20">
        <f t="shared" si="27"/>
        <v>1.0892579182742088</v>
      </c>
      <c r="F239" s="20">
        <f t="shared" si="28"/>
        <v>4.2231054760130567E-3</v>
      </c>
      <c r="G239" s="3">
        <f t="shared" si="22"/>
        <v>-0.11664877027182757</v>
      </c>
      <c r="H239" s="20">
        <f t="shared" si="23"/>
        <v>1.0694204614397282</v>
      </c>
      <c r="I239" s="20">
        <f t="shared" si="24"/>
        <v>0.18509186143972822</v>
      </c>
      <c r="J239" s="20">
        <f t="shared" si="25"/>
        <v>3.4258997171223549E-2</v>
      </c>
      <c r="K239" s="21">
        <f t="shared" si="26"/>
        <v>20.930213208045991</v>
      </c>
    </row>
    <row r="240" spans="2:11" x14ac:dyDescent="0.25">
      <c r="B240" s="4">
        <v>234</v>
      </c>
      <c r="C240" s="3">
        <v>0.80637460000000005</v>
      </c>
      <c r="D240" s="3">
        <v>-5.0569101683746703E-2</v>
      </c>
      <c r="E240" s="20">
        <f t="shared" si="27"/>
        <v>0.93442977079549505</v>
      </c>
      <c r="F240" s="20">
        <f t="shared" si="28"/>
        <v>-3.1250624104953223E-3</v>
      </c>
      <c r="G240" s="3">
        <f t="shared" si="22"/>
        <v>8.1099340507021445E-2</v>
      </c>
      <c r="H240" s="20">
        <f t="shared" si="23"/>
        <v>1.2448947349730546</v>
      </c>
      <c r="I240" s="20">
        <f t="shared" si="24"/>
        <v>0.43852013497305453</v>
      </c>
      <c r="J240" s="20">
        <f t="shared" si="25"/>
        <v>0.19229990877678596</v>
      </c>
      <c r="K240" s="21">
        <f t="shared" si="26"/>
        <v>54.381689970524185</v>
      </c>
    </row>
    <row r="241" spans="2:11" x14ac:dyDescent="0.25">
      <c r="B241" s="3">
        <v>235</v>
      </c>
      <c r="C241" s="3">
        <v>0.86016669999999995</v>
      </c>
      <c r="D241" s="3">
        <v>-4.6342718541456801E-2</v>
      </c>
      <c r="E241" s="20">
        <f t="shared" si="27"/>
        <v>0.96911439883099093</v>
      </c>
      <c r="F241" s="20">
        <f t="shared" si="28"/>
        <v>-1.3782547118905287E-3</v>
      </c>
      <c r="G241" s="3">
        <f t="shared" si="22"/>
        <v>-0.15866794422875438</v>
      </c>
      <c r="H241" s="20">
        <f t="shared" si="23"/>
        <v>0.75592162019302078</v>
      </c>
      <c r="I241" s="20">
        <f t="shared" si="24"/>
        <v>0.10424507980697917</v>
      </c>
      <c r="J241" s="20">
        <f t="shared" si="25"/>
        <v>1.0867036663963455E-2</v>
      </c>
      <c r="K241" s="21">
        <f t="shared" si="26"/>
        <v>12.119171761355</v>
      </c>
    </row>
    <row r="242" spans="2:11" x14ac:dyDescent="0.25">
      <c r="B242" s="4">
        <v>236</v>
      </c>
      <c r="C242" s="3">
        <v>0.86195319999999997</v>
      </c>
      <c r="D242" s="3">
        <v>-4.8517517696153097E-2</v>
      </c>
      <c r="E242" s="20">
        <f t="shared" si="27"/>
        <v>0.9886777234560995</v>
      </c>
      <c r="F242" s="20">
        <f t="shared" si="28"/>
        <v>-4.1075374652117032E-4</v>
      </c>
      <c r="G242" s="3">
        <f t="shared" si="22"/>
        <v>-0.15426297858150301</v>
      </c>
      <c r="H242" s="20">
        <f t="shared" si="23"/>
        <v>0.8042151814254227</v>
      </c>
      <c r="I242" s="20">
        <f t="shared" si="24"/>
        <v>5.7738018574577277E-2</v>
      </c>
      <c r="J242" s="20">
        <f t="shared" si="25"/>
        <v>3.3336787889182307E-3</v>
      </c>
      <c r="K242" s="21">
        <f t="shared" si="26"/>
        <v>6.6985096841194247</v>
      </c>
    </row>
    <row r="243" spans="2:11" x14ac:dyDescent="0.25">
      <c r="B243" s="3">
        <v>237</v>
      </c>
      <c r="C243" s="3">
        <v>0.86103430000000003</v>
      </c>
      <c r="D243" s="3">
        <v>7.7335839666151804E-2</v>
      </c>
      <c r="E243" s="20">
        <f t="shared" si="27"/>
        <v>0.95036284102471691</v>
      </c>
      <c r="F243" s="20">
        <f t="shared" si="28"/>
        <v>-2.161924491761768E-3</v>
      </c>
      <c r="G243" s="3">
        <f t="shared" si="22"/>
        <v>-3.9484108087829192E-2</v>
      </c>
      <c r="H243" s="20">
        <f t="shared" si="23"/>
        <v>0.9655397554311036</v>
      </c>
      <c r="I243" s="20">
        <f t="shared" si="24"/>
        <v>0.10450545543110357</v>
      </c>
      <c r="J243" s="20">
        <f t="shared" si="25"/>
        <v>1.0921390214862374E-2</v>
      </c>
      <c r="K243" s="21">
        <f t="shared" si="26"/>
        <v>12.137200043146198</v>
      </c>
    </row>
    <row r="244" spans="2:11" x14ac:dyDescent="0.25">
      <c r="B244" s="4">
        <v>238</v>
      </c>
      <c r="C244" s="3">
        <v>0.91286869999999998</v>
      </c>
      <c r="D244" s="3">
        <v>1.4758979835483399</v>
      </c>
      <c r="E244" s="20">
        <f t="shared" si="27"/>
        <v>0.96394729793796263</v>
      </c>
      <c r="F244" s="20">
        <f t="shared" si="28"/>
        <v>-1.4344416708504215E-3</v>
      </c>
      <c r="G244" s="3">
        <f t="shared" si="22"/>
        <v>-7.1785298742669909E-2</v>
      </c>
      <c r="H244" s="20">
        <f t="shared" si="23"/>
        <v>0.86945435920869207</v>
      </c>
      <c r="I244" s="20">
        <f t="shared" si="24"/>
        <v>4.3414340791307904E-2</v>
      </c>
      <c r="J244" s="20">
        <f t="shared" si="25"/>
        <v>1.8848049863438214E-3</v>
      </c>
      <c r="K244" s="21">
        <f t="shared" si="26"/>
        <v>4.7558143675325821</v>
      </c>
    </row>
    <row r="245" spans="2:11" x14ac:dyDescent="0.25">
      <c r="B245" s="3">
        <v>239</v>
      </c>
      <c r="C245" s="3">
        <v>1.3584147</v>
      </c>
      <c r="D245" s="3">
        <v>-0.77968636639604505</v>
      </c>
      <c r="E245" s="20">
        <f t="shared" si="27"/>
        <v>0.94141273409514148</v>
      </c>
      <c r="F245" s="20">
        <f t="shared" si="28"/>
        <v>-2.4092673151954692E-3</v>
      </c>
      <c r="G245" s="3">
        <f t="shared" si="22"/>
        <v>0.44474890696516023</v>
      </c>
      <c r="H245" s="20">
        <f t="shared" si="23"/>
        <v>1.4165898369505674</v>
      </c>
      <c r="I245" s="20">
        <f t="shared" si="24"/>
        <v>5.8175136950567419E-2</v>
      </c>
      <c r="J245" s="20">
        <f t="shared" si="25"/>
        <v>3.3843465592172748E-3</v>
      </c>
      <c r="K245" s="21">
        <f t="shared" si="26"/>
        <v>4.2825756339774168</v>
      </c>
    </row>
    <row r="246" spans="2:11" x14ac:dyDescent="0.25">
      <c r="B246" s="4">
        <v>240</v>
      </c>
      <c r="C246" s="3">
        <v>0.49129859999999997</v>
      </c>
      <c r="D246" s="3">
        <v>0.17500232030302901</v>
      </c>
      <c r="E246" s="20">
        <f t="shared" si="27"/>
        <v>0.96027689733916888</v>
      </c>
      <c r="F246" s="20">
        <f t="shared" si="28"/>
        <v>-1.4264348233593727E-3</v>
      </c>
      <c r="G246" s="3">
        <f t="shared" si="22"/>
        <v>-0.49695314123184042</v>
      </c>
      <c r="H246" s="20">
        <f t="shared" si="23"/>
        <v>0.43264563457617067</v>
      </c>
      <c r="I246" s="20">
        <f t="shared" si="24"/>
        <v>5.8652965423829306E-2</v>
      </c>
      <c r="J246" s="20">
        <f t="shared" si="25"/>
        <v>3.4401703530089161E-3</v>
      </c>
      <c r="K246" s="21">
        <f t="shared" si="26"/>
        <v>11.938353869485749</v>
      </c>
    </row>
    <row r="247" spans="2:11" x14ac:dyDescent="0.25">
      <c r="B247" s="3">
        <v>241</v>
      </c>
      <c r="C247" s="3">
        <v>0.95132039999999995</v>
      </c>
      <c r="D247" s="3">
        <v>-5.28441814012299E-2</v>
      </c>
      <c r="E247" s="20">
        <f t="shared" si="27"/>
        <v>1.0032530443685255</v>
      </c>
      <c r="F247" s="20">
        <f t="shared" si="28"/>
        <v>6.2496445823610487E-4</v>
      </c>
      <c r="G247" s="3">
        <f t="shared" si="22"/>
        <v>-0.11032262958051424</v>
      </c>
      <c r="H247" s="20">
        <f t="shared" si="23"/>
        <v>0.82889806238567432</v>
      </c>
      <c r="I247" s="20">
        <f t="shared" si="24"/>
        <v>0.12242233761432564</v>
      </c>
      <c r="J247" s="20">
        <f t="shared" si="25"/>
        <v>1.4987228746955929E-2</v>
      </c>
      <c r="K247" s="21">
        <f t="shared" si="26"/>
        <v>12.868675749445261</v>
      </c>
    </row>
    <row r="248" spans="2:11" x14ac:dyDescent="0.25">
      <c r="B248" s="4">
        <v>242</v>
      </c>
      <c r="C248" s="3">
        <v>0.85920370000000001</v>
      </c>
      <c r="D248" s="3">
        <v>0.22100866911491099</v>
      </c>
      <c r="E248" s="20">
        <f t="shared" si="27"/>
        <v>0.97679034396174114</v>
      </c>
      <c r="F248" s="20">
        <f t="shared" si="28"/>
        <v>-6.2648565852783944E-4</v>
      </c>
      <c r="G248" s="3">
        <f t="shared" si="22"/>
        <v>-8.1966004690308875E-2</v>
      </c>
      <c r="H248" s="20">
        <f t="shared" si="23"/>
        <v>0.93388708810317156</v>
      </c>
      <c r="I248" s="20">
        <f t="shared" si="24"/>
        <v>7.4683388103171544E-2</v>
      </c>
      <c r="J248" s="20">
        <f t="shared" si="25"/>
        <v>5.5776084585689445E-3</v>
      </c>
      <c r="K248" s="21">
        <f t="shared" si="26"/>
        <v>8.6921632324408673</v>
      </c>
    </row>
    <row r="249" spans="2:11" x14ac:dyDescent="0.25">
      <c r="B249" s="3">
        <v>243</v>
      </c>
      <c r="C249" s="3">
        <v>0.96893339999999994</v>
      </c>
      <c r="D249" s="3">
        <v>0.29938803588738599</v>
      </c>
      <c r="E249" s="20">
        <f t="shared" si="27"/>
        <v>0.99063133532618775</v>
      </c>
      <c r="F249" s="20">
        <f t="shared" si="28"/>
        <v>4.1911779933580121E-5</v>
      </c>
      <c r="G249" s="3">
        <f t="shared" si="22"/>
        <v>-4.072285987288024E-2</v>
      </c>
      <c r="H249" s="20">
        <f t="shared" si="23"/>
        <v>0.929045125880964</v>
      </c>
      <c r="I249" s="20">
        <f t="shared" si="24"/>
        <v>3.9888274119035949E-2</v>
      </c>
      <c r="J249" s="20">
        <f t="shared" si="25"/>
        <v>1.5910744121953532E-3</v>
      </c>
      <c r="K249" s="21">
        <f t="shared" si="26"/>
        <v>4.1167199024242489</v>
      </c>
    </row>
    <row r="250" spans="2:11" x14ac:dyDescent="0.25">
      <c r="B250" s="4">
        <v>244</v>
      </c>
      <c r="C250" s="3">
        <v>0.99824360000000001</v>
      </c>
      <c r="D250" s="3">
        <v>0.18129729538856801</v>
      </c>
      <c r="E250" s="20">
        <f t="shared" si="27"/>
        <v>1.0162613177549216</v>
      </c>
      <c r="F250" s="20">
        <f t="shared" si="28"/>
        <v>1.2240806439081512E-3</v>
      </c>
      <c r="G250" s="3">
        <f t="shared" si="22"/>
        <v>-5.1666370703587414E-2</v>
      </c>
      <c r="H250" s="20">
        <f t="shared" si="23"/>
        <v>0.92769474240749883</v>
      </c>
      <c r="I250" s="20">
        <f t="shared" si="24"/>
        <v>7.054885759250118E-2</v>
      </c>
      <c r="J250" s="20">
        <f t="shared" si="25"/>
        <v>4.9771413076070111E-3</v>
      </c>
      <c r="K250" s="21">
        <f t="shared" si="26"/>
        <v>7.0672987627970949</v>
      </c>
    </row>
    <row r="251" spans="2:11" x14ac:dyDescent="0.25">
      <c r="B251" s="3">
        <v>245</v>
      </c>
      <c r="C251" s="3">
        <v>0.9537487</v>
      </c>
      <c r="D251" s="3">
        <v>0.57493653483564999</v>
      </c>
      <c r="E251" s="20">
        <f t="shared" si="27"/>
        <v>1.036676606867166</v>
      </c>
      <c r="F251" s="20">
        <f t="shared" si="28"/>
        <v>2.1107144751452878E-3</v>
      </c>
      <c r="G251" s="3">
        <f t="shared" si="22"/>
        <v>-0.10816460103921471</v>
      </c>
      <c r="H251" s="20">
        <f t="shared" si="23"/>
        <v>0.90083662812700216</v>
      </c>
      <c r="I251" s="20">
        <f t="shared" si="24"/>
        <v>5.2912071872997846E-2</v>
      </c>
      <c r="J251" s="20">
        <f t="shared" si="25"/>
        <v>2.7996873498932896E-3</v>
      </c>
      <c r="K251" s="21">
        <f t="shared" si="26"/>
        <v>5.5478001566867503</v>
      </c>
    </row>
    <row r="252" spans="2:11" x14ac:dyDescent="0.25">
      <c r="B252" s="4">
        <v>246</v>
      </c>
      <c r="C252" s="3">
        <v>1.094959</v>
      </c>
      <c r="D252" s="3">
        <v>0.490381217425711</v>
      </c>
      <c r="E252" s="20">
        <f t="shared" si="27"/>
        <v>1.0297460583895583</v>
      </c>
      <c r="F252" s="20">
        <f t="shared" si="28"/>
        <v>1.6930081267281017E-3</v>
      </c>
      <c r="G252" s="3">
        <f t="shared" si="22"/>
        <v>7.7102322544641971E-2</v>
      </c>
      <c r="H252" s="20">
        <f t="shared" si="23"/>
        <v>1.1198866618493328</v>
      </c>
      <c r="I252" s="20">
        <f t="shared" si="24"/>
        <v>2.4927661849332816E-2</v>
      </c>
      <c r="J252" s="20">
        <f t="shared" si="25"/>
        <v>6.2138832527468279E-4</v>
      </c>
      <c r="K252" s="21">
        <f t="shared" si="26"/>
        <v>2.2765840409853535</v>
      </c>
    </row>
    <row r="253" spans="2:11" x14ac:dyDescent="0.25">
      <c r="B253" s="3">
        <v>247</v>
      </c>
      <c r="C253" s="3">
        <v>1.066263</v>
      </c>
      <c r="D253" s="3">
        <v>0.101381384393001</v>
      </c>
      <c r="E253" s="20">
        <f t="shared" si="27"/>
        <v>1.1016185705625987</v>
      </c>
      <c r="F253" s="20">
        <f t="shared" si="28"/>
        <v>4.9353012136677281E-3</v>
      </c>
      <c r="G253" s="3">
        <f t="shared" si="22"/>
        <v>-0.12764255101434963</v>
      </c>
      <c r="H253" s="20">
        <f t="shared" si="23"/>
        <v>0.87277112228753206</v>
      </c>
      <c r="I253" s="20">
        <f t="shared" si="24"/>
        <v>0.1934918777124679</v>
      </c>
      <c r="J253" s="20">
        <f t="shared" si="25"/>
        <v>3.7439106740696629E-2</v>
      </c>
      <c r="K253" s="21">
        <f t="shared" si="26"/>
        <v>18.146730939033606</v>
      </c>
    </row>
    <row r="254" spans="2:11" x14ac:dyDescent="0.25">
      <c r="B254" s="4">
        <v>248</v>
      </c>
      <c r="C254" s="3">
        <v>0.9224736</v>
      </c>
      <c r="D254" s="3">
        <v>0.89108851188881399</v>
      </c>
      <c r="E254" s="20">
        <f t="shared" si="27"/>
        <v>1.0957391395345257</v>
      </c>
      <c r="F254" s="20">
        <f t="shared" si="28"/>
        <v>4.4356605840993072E-3</v>
      </c>
      <c r="G254" s="3">
        <f t="shared" si="22"/>
        <v>-0.15904402291728351</v>
      </c>
      <c r="H254" s="20">
        <f t="shared" si="23"/>
        <v>0.95229089319476334</v>
      </c>
      <c r="I254" s="20">
        <f t="shared" si="24"/>
        <v>2.9817293194763339E-2</v>
      </c>
      <c r="J254" s="20">
        <f t="shared" si="25"/>
        <v>8.8907097346248016E-4</v>
      </c>
      <c r="K254" s="21">
        <f t="shared" si="26"/>
        <v>3.2323194067302672</v>
      </c>
    </row>
    <row r="255" spans="2:11" x14ac:dyDescent="0.25">
      <c r="B255" s="3">
        <v>249</v>
      </c>
      <c r="C255" s="3">
        <v>1.1955007</v>
      </c>
      <c r="D255" s="3">
        <v>9.1229813250703506E-2</v>
      </c>
      <c r="E255" s="20">
        <f t="shared" si="27"/>
        <v>1.1490703900090555</v>
      </c>
      <c r="F255" s="20">
        <f t="shared" si="28"/>
        <v>6.6946368370371951E-3</v>
      </c>
      <c r="G255" s="3">
        <f t="shared" si="22"/>
        <v>-1.7868040499209745E-2</v>
      </c>
      <c r="H255" s="20">
        <f t="shared" si="23"/>
        <v>1.0606906920307959</v>
      </c>
      <c r="I255" s="20">
        <f t="shared" si="24"/>
        <v>0.13481000796920406</v>
      </c>
      <c r="J255" s="20">
        <f t="shared" si="25"/>
        <v>1.8173738248656861E-2</v>
      </c>
      <c r="K255" s="21">
        <f t="shared" si="26"/>
        <v>11.276447430704479</v>
      </c>
    </row>
    <row r="256" spans="2:11" x14ac:dyDescent="0.25">
      <c r="B256" s="4">
        <v>250</v>
      </c>
      <c r="C256" s="3">
        <v>0.91842990000000002</v>
      </c>
      <c r="D256" s="3">
        <v>2.9506619033007402</v>
      </c>
      <c r="E256" s="20">
        <f t="shared" si="27"/>
        <v>1.0957201041929814</v>
      </c>
      <c r="F256" s="20">
        <f t="shared" si="28"/>
        <v>3.9205614104634509E-3</v>
      </c>
      <c r="G256" s="3">
        <f t="shared" si="22"/>
        <v>-9.8330332953968258E-2</v>
      </c>
      <c r="H256" s="20">
        <f t="shared" si="23"/>
        <v>1.0839797281034229</v>
      </c>
      <c r="I256" s="20">
        <f t="shared" si="24"/>
        <v>0.16554982810342289</v>
      </c>
      <c r="J256" s="20">
        <f t="shared" si="25"/>
        <v>2.7406745585072868E-2</v>
      </c>
      <c r="K256" s="21">
        <f t="shared" si="26"/>
        <v>18.025309074042873</v>
      </c>
    </row>
    <row r="257" spans="2:11" x14ac:dyDescent="0.25">
      <c r="B257" s="3">
        <v>251</v>
      </c>
      <c r="C257" s="3">
        <v>1.6798564</v>
      </c>
      <c r="D257" s="3">
        <v>-1.2237896234676</v>
      </c>
      <c r="E257" s="20">
        <f t="shared" si="27"/>
        <v>1.1487744839128118</v>
      </c>
      <c r="F257" s="20">
        <f t="shared" si="28"/>
        <v>6.1905438163562037E-3</v>
      </c>
      <c r="G257" s="3">
        <f t="shared" si="22"/>
        <v>0.46647029206026247</v>
      </c>
      <c r="H257" s="20">
        <f t="shared" si="23"/>
        <v>1.544389572568605</v>
      </c>
      <c r="I257" s="20">
        <f t="shared" si="24"/>
        <v>0.13546682743139504</v>
      </c>
      <c r="J257" s="20">
        <f t="shared" si="25"/>
        <v>1.8351261334327365E-2</v>
      </c>
      <c r="K257" s="21">
        <f t="shared" si="26"/>
        <v>8.064190929141029</v>
      </c>
    </row>
    <row r="258" spans="2:11" x14ac:dyDescent="0.25">
      <c r="B258" s="4">
        <v>252</v>
      </c>
      <c r="C258" s="3">
        <v>0.174234</v>
      </c>
      <c r="D258" s="3">
        <v>-0.260723145887649</v>
      </c>
      <c r="E258" s="20">
        <f t="shared" si="27"/>
        <v>0.97949878829658732</v>
      </c>
      <c r="F258" s="20">
        <f t="shared" si="28"/>
        <v>-1.9159964454290223E-3</v>
      </c>
      <c r="G258" s="3">
        <f t="shared" si="22"/>
        <v>-0.57452435163333071</v>
      </c>
      <c r="H258" s="20">
        <f t="shared" si="23"/>
        <v>0.65801188649732767</v>
      </c>
      <c r="I258" s="20">
        <f t="shared" si="24"/>
        <v>0.48377788649732767</v>
      </c>
      <c r="J258" s="20">
        <f t="shared" si="25"/>
        <v>0.23404104346382126</v>
      </c>
      <c r="K258" s="21">
        <f t="shared" si="26"/>
        <v>277.65986345795176</v>
      </c>
    </row>
    <row r="259" spans="2:11" x14ac:dyDescent="0.25">
      <c r="B259" s="3">
        <v>253</v>
      </c>
      <c r="C259" s="3">
        <v>0.76704830000000002</v>
      </c>
      <c r="D259" s="3">
        <v>1.18195659169065</v>
      </c>
      <c r="E259" s="20">
        <f t="shared" si="27"/>
        <v>0.94123594940559574</v>
      </c>
      <c r="F259" s="20">
        <f t="shared" si="28"/>
        <v>-3.5952205664140126E-3</v>
      </c>
      <c r="G259" s="3">
        <f t="shared" si="22"/>
        <v>-0.12639106856850474</v>
      </c>
      <c r="H259" s="20">
        <f t="shared" si="23"/>
        <v>0.86726016227064406</v>
      </c>
      <c r="I259" s="20">
        <f t="shared" si="24"/>
        <v>0.10021186227064405</v>
      </c>
      <c r="J259" s="20">
        <f t="shared" si="25"/>
        <v>1.0042417339750531E-2</v>
      </c>
      <c r="K259" s="21">
        <f t="shared" si="26"/>
        <v>13.064609134867263</v>
      </c>
    </row>
    <row r="260" spans="2:11" x14ac:dyDescent="0.25">
      <c r="B260" s="4">
        <v>254</v>
      </c>
      <c r="C260" s="3">
        <v>1.2798445000000001</v>
      </c>
      <c r="D260" s="3">
        <v>1.1073227524362199</v>
      </c>
      <c r="E260" s="20">
        <f t="shared" si="27"/>
        <v>1.0914871065403855</v>
      </c>
      <c r="F260" s="20">
        <f t="shared" si="28"/>
        <v>3.5124820833816019E-3</v>
      </c>
      <c r="G260" s="3">
        <f t="shared" si="22"/>
        <v>-1.3952637715788141E-2</v>
      </c>
      <c r="H260" s="20">
        <f t="shared" si="23"/>
        <v>0.8556747241488728</v>
      </c>
      <c r="I260" s="20">
        <f t="shared" si="24"/>
        <v>0.42416977585112725</v>
      </c>
      <c r="J260" s="20">
        <f t="shared" si="25"/>
        <v>0.17991999874559553</v>
      </c>
      <c r="K260" s="21">
        <f t="shared" si="26"/>
        <v>33.142290008757094</v>
      </c>
    </row>
    <row r="261" spans="2:11" x14ac:dyDescent="0.25">
      <c r="B261" s="3">
        <v>255</v>
      </c>
      <c r="C261" s="3">
        <v>1.2588718000000001</v>
      </c>
      <c r="D261" s="3">
        <v>1.7249942791947701</v>
      </c>
      <c r="E261" s="20">
        <f t="shared" si="27"/>
        <v>1.1692062209658205</v>
      </c>
      <c r="F261" s="20">
        <f t="shared" si="28"/>
        <v>6.940828497584468E-3</v>
      </c>
      <c r="G261" s="3">
        <f t="shared" si="22"/>
        <v>-7.9171286438639854E-3</v>
      </c>
      <c r="H261" s="20">
        <f t="shared" si="23"/>
        <v>1.054276728750887</v>
      </c>
      <c r="I261" s="20">
        <f t="shared" si="24"/>
        <v>0.20459507124911314</v>
      </c>
      <c r="J261" s="20">
        <f t="shared" si="25"/>
        <v>4.1859143179429681E-2</v>
      </c>
      <c r="K261" s="21">
        <f t="shared" si="26"/>
        <v>16.252256286074015</v>
      </c>
    </row>
    <row r="262" spans="2:11" x14ac:dyDescent="0.25">
      <c r="B262" s="4">
        <v>256</v>
      </c>
      <c r="C262" s="3">
        <v>1.4204827</v>
      </c>
      <c r="D262" s="3">
        <v>3.1057826574036098</v>
      </c>
      <c r="E262" s="20">
        <f t="shared" si="27"/>
        <v>1.2835069825672192</v>
      </c>
      <c r="F262" s="20">
        <f t="shared" si="28"/>
        <v>1.1900857406980684E-2</v>
      </c>
      <c r="G262" s="3">
        <f t="shared" si="22"/>
        <v>-4.2040213284771644E-3</v>
      </c>
      <c r="H262" s="20">
        <f t="shared" si="23"/>
        <v>1.1244806787598176</v>
      </c>
      <c r="I262" s="20">
        <f t="shared" si="24"/>
        <v>0.29600202124018238</v>
      </c>
      <c r="J262" s="20">
        <f t="shared" si="25"/>
        <v>8.7617196578273382E-2</v>
      </c>
      <c r="K262" s="21">
        <f t="shared" si="26"/>
        <v>20.838129266916265</v>
      </c>
    </row>
    <row r="263" spans="2:11" x14ac:dyDescent="0.25">
      <c r="B263" s="3">
        <v>257</v>
      </c>
      <c r="C263" s="3">
        <v>1.7083609</v>
      </c>
      <c r="D263" s="3">
        <v>2.6273590088825798</v>
      </c>
      <c r="E263" s="20">
        <f t="shared" si="27"/>
        <v>1.4844172156424809</v>
      </c>
      <c r="F263" s="20">
        <f t="shared" si="28"/>
        <v>2.0633090562855266E-2</v>
      </c>
      <c r="G263" s="3">
        <f t="shared" si="22"/>
        <v>-2.4606156433396489E-2</v>
      </c>
      <c r="H263" s="20">
        <f t="shared" si="23"/>
        <v>1.1872432389349852</v>
      </c>
      <c r="I263" s="20">
        <f t="shared" si="24"/>
        <v>0.52111766106501478</v>
      </c>
      <c r="J263" s="20">
        <f t="shared" si="25"/>
        <v>0.27156361667387163</v>
      </c>
      <c r="K263" s="21">
        <f t="shared" si="26"/>
        <v>30.503956222892647</v>
      </c>
    </row>
    <row r="264" spans="2:11" x14ac:dyDescent="0.25">
      <c r="B264" s="4">
        <v>258</v>
      </c>
      <c r="C264" s="3">
        <v>1.6177002</v>
      </c>
      <c r="D264" s="3">
        <v>-0.27749399538957098</v>
      </c>
      <c r="E264" s="20">
        <f t="shared" si="27"/>
        <v>1.5179434102977192</v>
      </c>
      <c r="F264" s="20">
        <f t="shared" si="28"/>
        <v>2.1228751971923362E-2</v>
      </c>
      <c r="G264" s="3">
        <f t="shared" si="22"/>
        <v>8.2802186481503906E-2</v>
      </c>
      <c r="H264" s="20">
        <f t="shared" si="23"/>
        <v>1.5821526287499781</v>
      </c>
      <c r="I264" s="20">
        <f t="shared" si="24"/>
        <v>3.5547571250021948E-2</v>
      </c>
      <c r="J264" s="20">
        <f t="shared" si="25"/>
        <v>1.2636298217753869E-3</v>
      </c>
      <c r="K264" s="21">
        <f t="shared" si="26"/>
        <v>2.1974140356799081</v>
      </c>
    </row>
    <row r="265" spans="2:11" x14ac:dyDescent="0.25">
      <c r="B265" s="3">
        <v>259</v>
      </c>
      <c r="C265" s="3">
        <v>0.75922970000000001</v>
      </c>
      <c r="D265" s="3">
        <v>0.30913407100158202</v>
      </c>
      <c r="E265" s="20">
        <f t="shared" si="27"/>
        <v>1.3025829844573478</v>
      </c>
      <c r="F265" s="20">
        <f t="shared" si="28"/>
        <v>1.0298331956995341E-2</v>
      </c>
      <c r="G265" s="3">
        <f t="shared" si="22"/>
        <v>-0.23223537154860796</v>
      </c>
      <c r="H265" s="20">
        <f t="shared" si="23"/>
        <v>1.4115296112552929</v>
      </c>
      <c r="I265" s="20">
        <f t="shared" si="24"/>
        <v>0.65229991125529285</v>
      </c>
      <c r="J265" s="20">
        <f t="shared" si="25"/>
        <v>0.42549517422366295</v>
      </c>
      <c r="K265" s="21">
        <f t="shared" si="26"/>
        <v>85.916016095694474</v>
      </c>
    </row>
    <row r="266" spans="2:11" x14ac:dyDescent="0.25">
      <c r="B266" s="4">
        <v>260</v>
      </c>
      <c r="C266" s="3">
        <v>1.0018289</v>
      </c>
      <c r="D266" s="3">
        <v>1.5122928237754001</v>
      </c>
      <c r="E266" s="20">
        <f t="shared" si="27"/>
        <v>1.2577478720929596</v>
      </c>
      <c r="F266" s="20">
        <f t="shared" si="28"/>
        <v>7.7511668293474209E-3</v>
      </c>
      <c r="G266" s="3">
        <f t="shared" si="22"/>
        <v>-0.18341776012988359</v>
      </c>
      <c r="H266" s="20">
        <f t="shared" si="23"/>
        <v>1.1538372934970595</v>
      </c>
      <c r="I266" s="20">
        <f t="shared" si="24"/>
        <v>0.15200839349705952</v>
      </c>
      <c r="J266" s="20">
        <f t="shared" si="25"/>
        <v>2.3106551693556888E-2</v>
      </c>
      <c r="K266" s="21">
        <f t="shared" si="26"/>
        <v>15.173089286709491</v>
      </c>
    </row>
    <row r="267" spans="2:11" x14ac:dyDescent="0.25">
      <c r="B267" s="3">
        <v>261</v>
      </c>
      <c r="C267" s="3">
        <v>1.3677272</v>
      </c>
      <c r="D267" s="3">
        <v>0.16936690131425799</v>
      </c>
      <c r="E267" s="20">
        <f t="shared" si="27"/>
        <v>1.3090579312342498</v>
      </c>
      <c r="F267" s="20">
        <f t="shared" si="28"/>
        <v>9.7635876541591806E-3</v>
      </c>
      <c r="G267" s="3">
        <f t="shared" si="22"/>
        <v>1.3887465118541716E-3</v>
      </c>
      <c r="H267" s="20">
        <f t="shared" si="23"/>
        <v>1.2476309984230973</v>
      </c>
      <c r="I267" s="20">
        <f t="shared" si="24"/>
        <v>0.12009620157690271</v>
      </c>
      <c r="J267" s="20">
        <f t="shared" si="25"/>
        <v>1.4423097633200047E-2</v>
      </c>
      <c r="K267" s="21">
        <f t="shared" si="26"/>
        <v>8.7807131112770662</v>
      </c>
    </row>
    <row r="268" spans="2:11" x14ac:dyDescent="0.25">
      <c r="B268" s="4">
        <v>262</v>
      </c>
      <c r="C268" s="3">
        <v>0.94914140000000002</v>
      </c>
      <c r="D268" s="3">
        <v>1.76583902252337</v>
      </c>
      <c r="E268" s="20">
        <f t="shared" si="27"/>
        <v>1.2204029515299872</v>
      </c>
      <c r="F268" s="20">
        <f t="shared" si="28"/>
        <v>5.2166498422000947E-3</v>
      </c>
      <c r="G268" s="3">
        <f t="shared" si="22"/>
        <v>-0.14183982754769464</v>
      </c>
      <c r="H268" s="20">
        <f t="shared" si="23"/>
        <v>1.2204911859344407</v>
      </c>
      <c r="I268" s="20">
        <f t="shared" si="24"/>
        <v>0.2713497859344407</v>
      </c>
      <c r="J268" s="20">
        <f t="shared" si="25"/>
        <v>7.3630706326666795E-2</v>
      </c>
      <c r="K268" s="21">
        <f t="shared" si="26"/>
        <v>28.588973775081428</v>
      </c>
    </row>
    <row r="269" spans="2:11" x14ac:dyDescent="0.25">
      <c r="B269" s="3">
        <v>263</v>
      </c>
      <c r="C269" s="3">
        <v>1.4303022999999999</v>
      </c>
      <c r="D269" s="3">
        <v>-0.77273258341314699</v>
      </c>
      <c r="E269" s="20">
        <f t="shared" si="27"/>
        <v>1.1306692412342376</v>
      </c>
      <c r="F269" s="20">
        <f t="shared" si="28"/>
        <v>8.2994320382681792E-4</v>
      </c>
      <c r="G269" s="3">
        <f t="shared" si="22"/>
        <v>0.42449404416336617</v>
      </c>
      <c r="H269" s="20">
        <f t="shared" si="23"/>
        <v>1.69208989343245</v>
      </c>
      <c r="I269" s="20">
        <f t="shared" si="24"/>
        <v>0.26178759343245006</v>
      </c>
      <c r="J269" s="20">
        <f t="shared" si="25"/>
        <v>6.8532744075153765E-2</v>
      </c>
      <c r="K269" s="21">
        <f t="shared" si="26"/>
        <v>18.302955496362557</v>
      </c>
    </row>
    <row r="270" spans="2:11" x14ac:dyDescent="0.25">
      <c r="B270" s="4">
        <v>264</v>
      </c>
      <c r="C270" s="3">
        <v>0.49554409999999999</v>
      </c>
      <c r="D270" s="3">
        <v>4.4402605466245797E-2</v>
      </c>
      <c r="E270" s="20">
        <f t="shared" si="27"/>
        <v>1.1092182576497875</v>
      </c>
      <c r="F270" s="20">
        <f t="shared" si="28"/>
        <v>-1.9943561379157462E-4</v>
      </c>
      <c r="G270" s="3">
        <f t="shared" si="22"/>
        <v>-0.58437444282707118</v>
      </c>
      <c r="H270" s="20">
        <f t="shared" si="23"/>
        <v>0.5569748328047337</v>
      </c>
      <c r="I270" s="20">
        <f t="shared" si="24"/>
        <v>6.1430732804733712E-2</v>
      </c>
      <c r="J270" s="20">
        <f t="shared" si="25"/>
        <v>3.7737349329265866E-3</v>
      </c>
      <c r="K270" s="21">
        <f t="shared" si="26"/>
        <v>12.396622783872054</v>
      </c>
    </row>
    <row r="271" spans="2:11" x14ac:dyDescent="0.25">
      <c r="B271" s="3">
        <v>265</v>
      </c>
      <c r="C271" s="3">
        <v>0.89956210000000003</v>
      </c>
      <c r="D271" s="3">
        <v>-0.20170781411821501</v>
      </c>
      <c r="E271" s="20">
        <f t="shared" si="27"/>
        <v>1.078890909523337</v>
      </c>
      <c r="F271" s="20">
        <f t="shared" si="28"/>
        <v>-1.5913451718764192E-3</v>
      </c>
      <c r="G271" s="3">
        <f t="shared" si="22"/>
        <v>-0.13971020419274052</v>
      </c>
      <c r="H271" s="20">
        <f t="shared" si="23"/>
        <v>0.98262775346749121</v>
      </c>
      <c r="I271" s="20">
        <f t="shared" si="24"/>
        <v>8.3065653467491174E-2</v>
      </c>
      <c r="J271" s="20">
        <f t="shared" si="25"/>
        <v>6.8999027859813289E-3</v>
      </c>
      <c r="K271" s="21">
        <f t="shared" si="26"/>
        <v>9.234009910765602</v>
      </c>
    </row>
    <row r="272" spans="2:11" x14ac:dyDescent="0.25">
      <c r="B272" s="4">
        <v>266</v>
      </c>
      <c r="C272" s="3">
        <v>0.79408509999999999</v>
      </c>
      <c r="D272" s="3">
        <v>0.43798971703502798</v>
      </c>
      <c r="E272" s="20">
        <f t="shared" si="27"/>
        <v>0.97963829983070227</v>
      </c>
      <c r="F272" s="20">
        <f t="shared" si="28"/>
        <v>-6.1032955927354526E-3</v>
      </c>
      <c r="G272" s="3">
        <f t="shared" si="22"/>
        <v>-5.7127339143900537E-2</v>
      </c>
      <c r="H272" s="20">
        <f t="shared" si="23"/>
        <v>1.0633469266356725</v>
      </c>
      <c r="I272" s="20">
        <f t="shared" si="24"/>
        <v>0.26926182663567255</v>
      </c>
      <c r="J272" s="20">
        <f t="shared" si="25"/>
        <v>7.2501931283178986E-2</v>
      </c>
      <c r="K272" s="21">
        <f t="shared" si="26"/>
        <v>33.908434579073777</v>
      </c>
    </row>
    <row r="273" spans="2:11" x14ac:dyDescent="0.25">
      <c r="B273" s="3">
        <v>267</v>
      </c>
      <c r="C273" s="3">
        <v>1.0480602999999999</v>
      </c>
      <c r="D273" s="3">
        <v>-6.2668548557650403E-2</v>
      </c>
      <c r="E273" s="20">
        <f t="shared" si="27"/>
        <v>1.0034368715699857</v>
      </c>
      <c r="F273" s="20">
        <f t="shared" si="28"/>
        <v>-4.7218293219961783E-3</v>
      </c>
      <c r="G273" s="3">
        <f t="shared" si="22"/>
        <v>5.3020755159237688E-3</v>
      </c>
      <c r="H273" s="20">
        <f t="shared" si="23"/>
        <v>0.96561787559410284</v>
      </c>
      <c r="I273" s="20">
        <f t="shared" si="24"/>
        <v>8.2442424405897108E-2</v>
      </c>
      <c r="J273" s="20">
        <f t="shared" si="25"/>
        <v>6.7967533419220592E-3</v>
      </c>
      <c r="K273" s="21">
        <f t="shared" si="26"/>
        <v>7.8661909439654485</v>
      </c>
    </row>
    <row r="274" spans="2:11" x14ac:dyDescent="0.25">
      <c r="B274" s="4">
        <v>268</v>
      </c>
      <c r="C274" s="3">
        <v>0.85503439999999997</v>
      </c>
      <c r="D274" s="3">
        <v>0.119349249757466</v>
      </c>
      <c r="E274" s="20">
        <f t="shared" si="27"/>
        <v>0.94812687184048239</v>
      </c>
      <c r="F274" s="20">
        <f t="shared" si="28"/>
        <v>-7.0590027948230095E-3</v>
      </c>
      <c r="G274" s="3">
        <f t="shared" si="22"/>
        <v>-2.6568355477297686E-2</v>
      </c>
      <c r="H274" s="20">
        <f t="shared" si="23"/>
        <v>0.99451102091951238</v>
      </c>
      <c r="I274" s="20">
        <f t="shared" si="24"/>
        <v>0.13947662091951241</v>
      </c>
      <c r="J274" s="20">
        <f t="shared" si="25"/>
        <v>1.9453727783125367E-2</v>
      </c>
      <c r="K274" s="21">
        <f t="shared" si="26"/>
        <v>16.312398766589087</v>
      </c>
    </row>
    <row r="275" spans="2:11" x14ac:dyDescent="0.25">
      <c r="B275" s="3">
        <v>269</v>
      </c>
      <c r="C275" s="3">
        <v>0.9295911</v>
      </c>
      <c r="D275" s="3">
        <v>0.68112048954660598</v>
      </c>
      <c r="E275" s="20">
        <f t="shared" si="27"/>
        <v>0.94582989785119165</v>
      </c>
      <c r="F275" s="20">
        <f t="shared" si="28"/>
        <v>-6.8389970640074186E-3</v>
      </c>
      <c r="G275" s="3">
        <f t="shared" si="22"/>
        <v>-2.2500929014113751E-2</v>
      </c>
      <c r="H275" s="20">
        <f t="shared" si="23"/>
        <v>0.91646171261226295</v>
      </c>
      <c r="I275" s="20">
        <f t="shared" si="24"/>
        <v>1.3129387387737057E-2</v>
      </c>
      <c r="J275" s="20">
        <f t="shared" si="25"/>
        <v>1.723808131772689E-4</v>
      </c>
      <c r="K275" s="21">
        <f t="shared" si="26"/>
        <v>1.4123830776496309</v>
      </c>
    </row>
    <row r="276" spans="2:11" x14ac:dyDescent="0.25">
      <c r="B276" s="4">
        <v>270</v>
      </c>
      <c r="C276" s="3">
        <v>1.1298668000000001</v>
      </c>
      <c r="D276" s="3">
        <v>0.20090974839213099</v>
      </c>
      <c r="E276" s="20">
        <f t="shared" si="27"/>
        <v>0.97818923639483113</v>
      </c>
      <c r="F276" s="20">
        <f t="shared" si="28"/>
        <v>-5.0280339589341312E-3</v>
      </c>
      <c r="G276" s="3">
        <f t="shared" ref="G276:G289" si="29">$H$3*(C276-E276)+(1-$H$3)*G264</f>
        <v>0.10013123136581803</v>
      </c>
      <c r="H276" s="20">
        <f t="shared" ref="H276:H289" si="30">E275+F275+G264</f>
        <v>1.0217930872686882</v>
      </c>
      <c r="I276" s="20">
        <f t="shared" ref="I276:I289" si="31">ABS(C276-H276)</f>
        <v>0.10807371273131183</v>
      </c>
      <c r="J276" s="20">
        <f t="shared" ref="J276:J289" si="32">(C276-H276)^2</f>
        <v>1.1679927383530114E-2</v>
      </c>
      <c r="K276" s="21">
        <f t="shared" ref="K276:K289" si="33">ABS((C276 - H276) / C276) * 100</f>
        <v>9.5651728797865232</v>
      </c>
    </row>
    <row r="277" spans="2:11" x14ac:dyDescent="0.25">
      <c r="B277" s="3">
        <v>271</v>
      </c>
      <c r="C277" s="3">
        <v>0.96127689999999999</v>
      </c>
      <c r="D277" s="3">
        <v>0.40636043832046997</v>
      </c>
      <c r="E277" s="20">
        <f t="shared" si="27"/>
        <v>1.0530825352030773</v>
      </c>
      <c r="F277" s="20">
        <f t="shared" si="28"/>
        <v>-1.3356683850904031E-3</v>
      </c>
      <c r="G277" s="3">
        <f t="shared" si="29"/>
        <v>-0.19690324988407243</v>
      </c>
      <c r="H277" s="20">
        <f t="shared" si="30"/>
        <v>0.74092583088728903</v>
      </c>
      <c r="I277" s="20">
        <f t="shared" si="31"/>
        <v>0.22035106911271096</v>
      </c>
      <c r="J277" s="20">
        <f t="shared" si="32"/>
        <v>4.8554593659114721E-2</v>
      </c>
      <c r="K277" s="21">
        <f t="shared" si="33"/>
        <v>22.922746724977056</v>
      </c>
    </row>
    <row r="278" spans="2:11" x14ac:dyDescent="0.25">
      <c r="B278" s="4">
        <v>272</v>
      </c>
      <c r="C278" s="3">
        <v>1.0369086000000001</v>
      </c>
      <c r="D278" s="3">
        <v>0.345729112439561</v>
      </c>
      <c r="E278" s="20">
        <f t="shared" si="27"/>
        <v>1.1128906490422117</v>
      </c>
      <c r="F278" s="20">
        <f t="shared" si="28"/>
        <v>1.4891743536687839E-3</v>
      </c>
      <c r="G278" s="3">
        <f t="shared" si="29"/>
        <v>-0.15638693522022531</v>
      </c>
      <c r="H278" s="20">
        <f t="shared" si="30"/>
        <v>0.86832910668810315</v>
      </c>
      <c r="I278" s="20">
        <f t="shared" si="31"/>
        <v>0.16857949331189692</v>
      </c>
      <c r="J278" s="20">
        <f t="shared" si="32"/>
        <v>2.8419045565295897E-2</v>
      </c>
      <c r="K278" s="21">
        <f t="shared" si="33"/>
        <v>16.257893252297929</v>
      </c>
    </row>
    <row r="279" spans="2:11" x14ac:dyDescent="0.25">
      <c r="B279" s="3">
        <v>273</v>
      </c>
      <c r="C279" s="3">
        <v>1.0151774</v>
      </c>
      <c r="D279" s="3">
        <v>-0.24488243298604001</v>
      </c>
      <c r="E279" s="20">
        <f t="shared" ref="E279:E287" si="34">$F$3 * (C279 - G267) + (1 - $F$3) * (E278 + F278)</f>
        <v>1.077895406070345</v>
      </c>
      <c r="F279" s="20">
        <f t="shared" ref="F279:F289" si="35">$G$3 * (E279 - E278) + (1 - $G$3) * F278</f>
        <v>-1.9640572677095697E-4</v>
      </c>
      <c r="G279" s="3">
        <f t="shared" si="29"/>
        <v>-1.4740512437827124E-2</v>
      </c>
      <c r="H279" s="20">
        <f t="shared" si="30"/>
        <v>1.1157685699077347</v>
      </c>
      <c r="I279" s="20">
        <f t="shared" si="31"/>
        <v>0.10059116990773465</v>
      </c>
      <c r="J279" s="20">
        <f t="shared" si="32"/>
        <v>1.0118583463406741E-2</v>
      </c>
      <c r="K279" s="21">
        <f t="shared" si="33"/>
        <v>9.9087282585028635</v>
      </c>
    </row>
    <row r="280" spans="2:11" x14ac:dyDescent="0.25">
      <c r="B280" s="4">
        <v>274</v>
      </c>
      <c r="C280" s="3">
        <v>0.77437750000000005</v>
      </c>
      <c r="D280" s="3">
        <v>1.9210316428751999</v>
      </c>
      <c r="E280" s="20">
        <f t="shared" si="34"/>
        <v>1.0191295976205086</v>
      </c>
      <c r="F280" s="20">
        <f t="shared" si="35"/>
        <v>-2.9023121325765788E-3</v>
      </c>
      <c r="G280" s="3">
        <f t="shared" si="29"/>
        <v>-0.1677325546980146</v>
      </c>
      <c r="H280" s="20">
        <f t="shared" si="30"/>
        <v>0.93585917279587938</v>
      </c>
      <c r="I280" s="20">
        <f t="shared" si="31"/>
        <v>0.16148167279587933</v>
      </c>
      <c r="J280" s="20">
        <f t="shared" si="32"/>
        <v>2.6076330648955433E-2</v>
      </c>
      <c r="K280" s="21">
        <f t="shared" si="33"/>
        <v>20.853094620631321</v>
      </c>
    </row>
    <row r="281" spans="2:11" x14ac:dyDescent="0.25">
      <c r="B281" s="3">
        <v>275</v>
      </c>
      <c r="C281" s="3">
        <v>1.4667574000000001</v>
      </c>
      <c r="D281" s="3">
        <v>-0.28691965969791899</v>
      </c>
      <c r="E281" s="20">
        <f t="shared" si="34"/>
        <v>1.0256705682034062</v>
      </c>
      <c r="F281" s="20">
        <f t="shared" si="35"/>
        <v>-2.466032471121672E-3</v>
      </c>
      <c r="G281" s="3">
        <f t="shared" si="29"/>
        <v>0.42866878953188625</v>
      </c>
      <c r="H281" s="20">
        <f t="shared" si="30"/>
        <v>1.4407213296512982</v>
      </c>
      <c r="I281" s="20">
        <f t="shared" si="31"/>
        <v>2.6036070348701923E-2</v>
      </c>
      <c r="J281" s="20">
        <f t="shared" si="32"/>
        <v>6.7787695920255549E-4</v>
      </c>
      <c r="K281" s="21">
        <f t="shared" si="33"/>
        <v>1.7750768019784269</v>
      </c>
    </row>
    <row r="282" spans="2:11" x14ac:dyDescent="0.25">
      <c r="B282" s="4">
        <v>276</v>
      </c>
      <c r="C282" s="3">
        <v>0.75480849999999999</v>
      </c>
      <c r="D282" s="3">
        <v>0.40847264690696899</v>
      </c>
      <c r="E282" s="20">
        <f t="shared" si="34"/>
        <v>1.1378099039855636</v>
      </c>
      <c r="F282" s="20">
        <f t="shared" si="35"/>
        <v>2.8287355421798208E-3</v>
      </c>
      <c r="G282" s="3">
        <f t="shared" si="29"/>
        <v>-0.53370898625454788</v>
      </c>
      <c r="H282" s="20">
        <f t="shared" si="30"/>
        <v>0.43883009290521335</v>
      </c>
      <c r="I282" s="20">
        <f t="shared" si="31"/>
        <v>0.31597840709478664</v>
      </c>
      <c r="J282" s="20">
        <f t="shared" si="32"/>
        <v>9.9842353750158708E-2</v>
      </c>
      <c r="K282" s="21">
        <f t="shared" si="33"/>
        <v>41.862062641688141</v>
      </c>
    </row>
    <row r="283" spans="2:11" x14ac:dyDescent="0.25">
      <c r="B283" s="3">
        <v>277</v>
      </c>
      <c r="C283" s="3">
        <v>1.0376571999999999</v>
      </c>
      <c r="D283" s="3">
        <v>0.809915043335106</v>
      </c>
      <c r="E283" s="20">
        <f t="shared" si="34"/>
        <v>1.1539601624717379</v>
      </c>
      <c r="F283" s="20">
        <f t="shared" si="35"/>
        <v>3.444189902192368E-3</v>
      </c>
      <c r="G283" s="3">
        <f t="shared" si="29"/>
        <v>-0.13382094217573628</v>
      </c>
      <c r="H283" s="20">
        <f t="shared" si="30"/>
        <v>1.000928435335003</v>
      </c>
      <c r="I283" s="20">
        <f t="shared" si="31"/>
        <v>3.6728764664996971E-2</v>
      </c>
      <c r="J283" s="20">
        <f t="shared" si="32"/>
        <v>1.3490021538167302E-3</v>
      </c>
      <c r="K283" s="21">
        <f t="shared" si="33"/>
        <v>3.5395855842369692</v>
      </c>
    </row>
    <row r="284" spans="2:11" x14ac:dyDescent="0.25">
      <c r="B284" s="4">
        <v>278</v>
      </c>
      <c r="C284" s="3">
        <v>1.1706348</v>
      </c>
      <c r="D284" s="3">
        <v>0.12745165568811101</v>
      </c>
      <c r="E284" s="20">
        <f t="shared" si="34"/>
        <v>1.1829231216353986</v>
      </c>
      <c r="F284" s="20">
        <f t="shared" si="35"/>
        <v>4.6231570420722026E-3</v>
      </c>
      <c r="G284" s="3">
        <f t="shared" si="29"/>
        <v>-4.5845842338761447E-2</v>
      </c>
      <c r="H284" s="20">
        <f t="shared" si="30"/>
        <v>1.1002770132300299</v>
      </c>
      <c r="I284" s="20">
        <f t="shared" si="31"/>
        <v>7.0357786769970065E-2</v>
      </c>
      <c r="J284" s="20">
        <f t="shared" si="32"/>
        <v>4.9502181591685752E-3</v>
      </c>
      <c r="K284" s="21">
        <f t="shared" si="33"/>
        <v>6.0102251163189466</v>
      </c>
    </row>
    <row r="285" spans="2:11" x14ac:dyDescent="0.25">
      <c r="B285" s="3">
        <v>279</v>
      </c>
      <c r="C285" s="3">
        <v>0.9327841</v>
      </c>
      <c r="D285" s="3">
        <v>0.10832557997575799</v>
      </c>
      <c r="E285" s="20">
        <f t="shared" si="34"/>
        <v>1.0932209736815266</v>
      </c>
      <c r="F285" s="20">
        <f t="shared" si="35"/>
        <v>2.6532795125958075E-4</v>
      </c>
      <c r="G285" s="3">
        <f t="shared" si="29"/>
        <v>-3.6397844102154742E-2</v>
      </c>
      <c r="H285" s="20">
        <f t="shared" si="30"/>
        <v>1.1928483541933947</v>
      </c>
      <c r="I285" s="20">
        <f t="shared" si="31"/>
        <v>0.26006425419339474</v>
      </c>
      <c r="J285" s="20">
        <f t="shared" si="32"/>
        <v>6.7633416309166638E-2</v>
      </c>
      <c r="K285" s="21">
        <f t="shared" si="33"/>
        <v>27.88043387461201</v>
      </c>
    </row>
    <row r="286" spans="2:11" x14ac:dyDescent="0.25">
      <c r="B286" s="4">
        <v>280</v>
      </c>
      <c r="C286" s="3">
        <v>0.92523040000000001</v>
      </c>
      <c r="D286" s="3">
        <v>0.249857763270908</v>
      </c>
      <c r="E286" s="20">
        <f t="shared" si="34"/>
        <v>1.0420962286421904</v>
      </c>
      <c r="F286" s="20">
        <f t="shared" si="35"/>
        <v>-2.1088934209059426E-3</v>
      </c>
      <c r="G286" s="3">
        <f t="shared" si="29"/>
        <v>-4.9287199725584693E-2</v>
      </c>
      <c r="H286" s="20">
        <f t="shared" si="30"/>
        <v>1.0669179461554885</v>
      </c>
      <c r="I286" s="20">
        <f t="shared" si="31"/>
        <v>0.14168754615548851</v>
      </c>
      <c r="J286" s="20">
        <f t="shared" si="32"/>
        <v>2.0075360735563687E-2</v>
      </c>
      <c r="K286" s="21">
        <f t="shared" si="33"/>
        <v>15.313758189904753</v>
      </c>
    </row>
    <row r="287" spans="2:11" x14ac:dyDescent="0.25">
      <c r="B287" s="16">
        <v>281</v>
      </c>
      <c r="C287" s="3">
        <v>0.97982179999999997</v>
      </c>
      <c r="D287" s="16">
        <v>0.58840823331977099</v>
      </c>
      <c r="E287" s="22">
        <f t="shared" si="34"/>
        <v>1.0263263825499436</v>
      </c>
      <c r="F287" s="22">
        <f t="shared" si="35"/>
        <v>-2.7400294343218924E-3</v>
      </c>
      <c r="G287" s="16">
        <f t="shared" si="29"/>
        <v>-2.8540248243728542E-2</v>
      </c>
      <c r="H287" s="20">
        <f t="shared" si="30"/>
        <v>1.0174864062071707</v>
      </c>
      <c r="I287" s="20">
        <f t="shared" si="31"/>
        <v>3.7664606207170714E-2</v>
      </c>
      <c r="J287" s="20">
        <f t="shared" si="32"/>
        <v>1.4186225607412427E-3</v>
      </c>
      <c r="K287" s="21">
        <f t="shared" si="33"/>
        <v>3.8440261491600527</v>
      </c>
    </row>
    <row r="288" spans="2:11" x14ac:dyDescent="0.25">
      <c r="B288" s="4">
        <v>282</v>
      </c>
      <c r="C288" s="3">
        <v>1.0994558999999999</v>
      </c>
      <c r="D288" s="3">
        <v>-0.163917825909276</v>
      </c>
      <c r="E288" s="20">
        <f>$F$3 * (C288 - G276) + (1 - $F$3) * (E287 + F287)</f>
        <v>1.0147866401542034</v>
      </c>
      <c r="F288" s="20">
        <f t="shared" si="35"/>
        <v>-3.1465761731394176E-3</v>
      </c>
      <c r="G288" s="3">
        <f t="shared" si="29"/>
        <v>9.6240999331380611E-2</v>
      </c>
      <c r="H288" s="20">
        <f t="shared" si="30"/>
        <v>1.1237175844814398</v>
      </c>
      <c r="I288" s="20">
        <f t="shared" si="31"/>
        <v>2.4261684481439838E-2</v>
      </c>
      <c r="J288" s="20">
        <f t="shared" si="32"/>
        <v>5.886293338769387E-4</v>
      </c>
      <c r="K288" s="21">
        <f t="shared" si="33"/>
        <v>2.2066991937957527</v>
      </c>
    </row>
    <row r="289" spans="2:11" x14ac:dyDescent="0.25">
      <c r="B289" s="3">
        <v>283</v>
      </c>
      <c r="C289" s="3">
        <v>0.81102169999999996</v>
      </c>
      <c r="D289" s="3"/>
      <c r="E289" s="20">
        <f>$F$3 * (C289 - G277) + (1 - $F$3) * (E288 + F288)</f>
        <v>1.010292592098085</v>
      </c>
      <c r="F289" s="20">
        <f t="shared" si="35"/>
        <v>-3.2088293741330473E-3</v>
      </c>
      <c r="G289" s="3">
        <f t="shared" si="29"/>
        <v>-0.19749894866511797</v>
      </c>
      <c r="H289" s="20">
        <f t="shared" si="30"/>
        <v>0.8147368140969915</v>
      </c>
      <c r="I289" s="20">
        <f t="shared" si="31"/>
        <v>3.7151140969915453E-3</v>
      </c>
      <c r="J289" s="20">
        <f t="shared" si="32"/>
        <v>1.3802072753665305E-5</v>
      </c>
      <c r="K289" s="21">
        <f t="shared" si="33"/>
        <v>0.45807826066695206</v>
      </c>
    </row>
    <row r="290" spans="2:11" x14ac:dyDescent="0.25">
      <c r="B290" s="4">
        <v>284</v>
      </c>
      <c r="C290" s="1"/>
      <c r="E290" s="23"/>
      <c r="F290" s="23"/>
      <c r="H290" s="20">
        <f>E289+F289+G278</f>
        <v>0.85069682750372666</v>
      </c>
      <c r="I290" s="23"/>
      <c r="J290" s="23"/>
      <c r="K290" s="24"/>
    </row>
    <row r="291" spans="2:11" x14ac:dyDescent="0.25">
      <c r="B291" s="3">
        <v>285</v>
      </c>
      <c r="C291" s="1"/>
      <c r="E291" s="23"/>
      <c r="F291" s="23"/>
      <c r="H291" s="20">
        <f>E289+F289+G279</f>
        <v>0.9923432502861248</v>
      </c>
      <c r="I291" s="23"/>
      <c r="J291" s="23"/>
      <c r="K291" s="24"/>
    </row>
    <row r="292" spans="2:11" x14ac:dyDescent="0.25">
      <c r="B292" s="4">
        <v>286</v>
      </c>
      <c r="C292" s="1"/>
      <c r="E292" s="23"/>
      <c r="F292" s="23"/>
      <c r="H292" s="20">
        <f>E289+F289+G280</f>
        <v>0.83935120802593732</v>
      </c>
      <c r="I292" s="23"/>
      <c r="J292" s="23"/>
      <c r="K292" s="24"/>
    </row>
    <row r="293" spans="2:11" x14ac:dyDescent="0.25">
      <c r="B293" s="3">
        <v>287</v>
      </c>
      <c r="C293" s="1"/>
      <c r="E293" s="23"/>
      <c r="F293" s="23"/>
      <c r="H293" s="20">
        <f>E289+F289+G281</f>
        <v>1.4357525522558383</v>
      </c>
      <c r="I293" s="23"/>
      <c r="J293" s="23"/>
      <c r="K293" s="24"/>
    </row>
    <row r="296" spans="2:11" x14ac:dyDescent="0.25">
      <c r="H296" s="30" t="s">
        <v>13</v>
      </c>
      <c r="I296" s="29"/>
    </row>
    <row r="297" spans="2:11" x14ac:dyDescent="0.25">
      <c r="H297" s="30" t="s">
        <v>14</v>
      </c>
      <c r="I297" s="20">
        <f>AVERAGE(I278:I289)</f>
        <v>0.11226221416903764</v>
      </c>
    </row>
    <row r="298" spans="2:11" x14ac:dyDescent="0.25">
      <c r="H298" s="30" t="s">
        <v>15</v>
      </c>
      <c r="I298" s="20">
        <f>AVERAGE(J278:J289)</f>
        <v>2.1763603476008902E-2</v>
      </c>
    </row>
    <row r="299" spans="2:11" x14ac:dyDescent="0.25">
      <c r="H299" s="30" t="s">
        <v>16</v>
      </c>
      <c r="I299" s="20">
        <f>AVERAGE(K278:K289)</f>
        <v>12.492471828649508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ignoredErrors>
    <ignoredError sqref="E18:F18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00"/>
  <sheetViews>
    <sheetView showGridLines="0" zoomScale="96" zoomScaleNormal="96" workbookViewId="0">
      <selection activeCell="I7" sqref="I7"/>
    </sheetView>
  </sheetViews>
  <sheetFormatPr defaultColWidth="9.140625" defaultRowHeight="15" x14ac:dyDescent="0.25"/>
  <cols>
    <col min="2" max="2" width="16.5703125" style="1" customWidth="1"/>
    <col min="3" max="3" width="11.85546875" bestFit="1" customWidth="1"/>
    <col min="4" max="5" width="9.42578125" bestFit="1" customWidth="1"/>
    <col min="6" max="6" width="11.7109375" customWidth="1"/>
    <col min="8" max="8" width="9.42578125" customWidth="1"/>
  </cols>
  <sheetData>
    <row r="2" spans="1:9" x14ac:dyDescent="0.25">
      <c r="C2" s="2" t="s">
        <v>1</v>
      </c>
      <c r="D2" s="2" t="s">
        <v>2</v>
      </c>
      <c r="E2" s="2" t="s">
        <v>3</v>
      </c>
      <c r="F2" s="2" t="s">
        <v>4</v>
      </c>
    </row>
    <row r="3" spans="1:9" x14ac:dyDescent="0.25">
      <c r="C3" s="3">
        <v>12</v>
      </c>
      <c r="D3" s="3">
        <v>0.105</v>
      </c>
      <c r="E3" s="3">
        <v>1.4999999999999999E-2</v>
      </c>
      <c r="F3" s="3">
        <v>0.105</v>
      </c>
    </row>
    <row r="6" spans="1:9" x14ac:dyDescent="0.25">
      <c r="B6" s="5" t="s">
        <v>0</v>
      </c>
    </row>
    <row r="7" spans="1:9" x14ac:dyDescent="0.25">
      <c r="A7" s="6" t="s">
        <v>6</v>
      </c>
      <c r="B7" s="6" t="s">
        <v>5</v>
      </c>
      <c r="C7" s="6" t="s">
        <v>7</v>
      </c>
      <c r="D7" s="6" t="s">
        <v>8</v>
      </c>
      <c r="E7" s="6" t="s">
        <v>9</v>
      </c>
      <c r="F7" s="6" t="s">
        <v>10</v>
      </c>
      <c r="G7" s="9" t="s">
        <v>11</v>
      </c>
      <c r="H7" s="9" t="s">
        <v>12</v>
      </c>
      <c r="I7" s="6" t="s">
        <v>16</v>
      </c>
    </row>
    <row r="8" spans="1:9" x14ac:dyDescent="0.25">
      <c r="A8" s="3">
        <v>1</v>
      </c>
      <c r="B8" s="3">
        <v>-0.23602370278299201</v>
      </c>
      <c r="C8" s="11"/>
      <c r="D8" s="11"/>
      <c r="E8" s="12">
        <f>B8-$C$19</f>
        <v>-0.25355170885016881</v>
      </c>
      <c r="F8" s="11"/>
      <c r="G8" s="13"/>
      <c r="H8" s="13"/>
      <c r="I8" s="13"/>
    </row>
    <row r="9" spans="1:9" x14ac:dyDescent="0.25">
      <c r="A9" s="4">
        <v>2</v>
      </c>
      <c r="B9" s="3">
        <v>-3.2272591284078903E-2</v>
      </c>
      <c r="C9" s="11"/>
      <c r="D9" s="11"/>
      <c r="E9" s="12">
        <f t="shared" ref="E9:E18" si="0">B9-$C$19</f>
        <v>-4.9800597351255721E-2</v>
      </c>
      <c r="F9" s="11"/>
      <c r="G9" s="13"/>
      <c r="H9" s="13"/>
      <c r="I9" s="13"/>
    </row>
    <row r="10" spans="1:9" x14ac:dyDescent="0.25">
      <c r="A10" s="3">
        <v>3</v>
      </c>
      <c r="B10" s="3">
        <v>0.94452884944668403</v>
      </c>
      <c r="C10" s="11"/>
      <c r="D10" s="11"/>
      <c r="E10" s="12">
        <f t="shared" si="0"/>
        <v>0.92700084337950717</v>
      </c>
      <c r="F10" s="11"/>
      <c r="G10" s="13"/>
      <c r="H10" s="13"/>
      <c r="I10" s="13"/>
    </row>
    <row r="11" spans="1:9" x14ac:dyDescent="0.25">
      <c r="A11" s="4">
        <v>4</v>
      </c>
      <c r="B11" s="3">
        <v>-0.68143185166807396</v>
      </c>
      <c r="C11" s="11"/>
      <c r="D11" s="11"/>
      <c r="E11" s="12">
        <f t="shared" si="0"/>
        <v>-0.69895985773525082</v>
      </c>
      <c r="F11" s="11"/>
      <c r="G11" s="13"/>
      <c r="H11" s="13"/>
      <c r="I11" s="13"/>
    </row>
    <row r="12" spans="1:9" x14ac:dyDescent="0.25">
      <c r="A12" s="3">
        <v>5</v>
      </c>
      <c r="B12" s="3">
        <v>-6.8474914272319595E-2</v>
      </c>
      <c r="C12" s="11"/>
      <c r="D12" s="11"/>
      <c r="E12" s="12">
        <f t="shared" si="0"/>
        <v>-8.6002920339496414E-2</v>
      </c>
      <c r="F12" s="11"/>
      <c r="G12" s="13"/>
      <c r="H12" s="13"/>
      <c r="I12" s="13"/>
    </row>
    <row r="13" spans="1:9" x14ac:dyDescent="0.25">
      <c r="A13" s="4">
        <v>6</v>
      </c>
      <c r="B13" s="3">
        <v>0.31453435372215099</v>
      </c>
      <c r="C13" s="11"/>
      <c r="D13" s="11"/>
      <c r="E13" s="12">
        <f t="shared" si="0"/>
        <v>0.29700634765497419</v>
      </c>
      <c r="F13" s="11"/>
      <c r="G13" s="13"/>
      <c r="H13" s="13"/>
      <c r="I13" s="13"/>
    </row>
    <row r="14" spans="1:9" x14ac:dyDescent="0.25">
      <c r="A14" s="3">
        <v>7</v>
      </c>
      <c r="B14" s="3">
        <v>-0.35898511684002699</v>
      </c>
      <c r="C14" s="11"/>
      <c r="D14" s="11"/>
      <c r="E14" s="12">
        <f t="shared" si="0"/>
        <v>-0.37651312290720379</v>
      </c>
      <c r="F14" s="11"/>
      <c r="G14" s="13"/>
      <c r="H14" s="13"/>
      <c r="I14" s="13"/>
    </row>
    <row r="15" spans="1:9" x14ac:dyDescent="0.25">
      <c r="A15" s="4">
        <v>8</v>
      </c>
      <c r="B15" s="3">
        <v>-9.4493051576368697E-2</v>
      </c>
      <c r="C15" s="11"/>
      <c r="D15" s="11"/>
      <c r="E15" s="12">
        <f t="shared" si="0"/>
        <v>-0.11202105764354552</v>
      </c>
      <c r="F15" s="11"/>
      <c r="G15" s="13"/>
      <c r="H15" s="13"/>
      <c r="I15" s="13"/>
    </row>
    <row r="16" spans="1:9" x14ac:dyDescent="0.25">
      <c r="A16" s="3">
        <v>9</v>
      </c>
      <c r="B16" s="3">
        <v>-4.8698667949326202E-2</v>
      </c>
      <c r="C16" s="11"/>
      <c r="D16" s="11"/>
      <c r="E16" s="12">
        <f t="shared" si="0"/>
        <v>-6.622667401650302E-2</v>
      </c>
      <c r="F16" s="11"/>
      <c r="G16" s="13"/>
      <c r="H16" s="13"/>
      <c r="I16" s="13"/>
    </row>
    <row r="17" spans="1:9" x14ac:dyDescent="0.25">
      <c r="A17" s="4">
        <v>10</v>
      </c>
      <c r="B17" s="3">
        <v>-0.23835204936642099</v>
      </c>
      <c r="C17" s="11"/>
      <c r="D17" s="11"/>
      <c r="E17" s="12">
        <f t="shared" si="0"/>
        <v>-0.25588005543359782</v>
      </c>
      <c r="F17" s="11"/>
      <c r="G17" s="13"/>
      <c r="H17" s="13"/>
      <c r="I17" s="13"/>
    </row>
    <row r="18" spans="1:9" x14ac:dyDescent="0.25">
      <c r="A18" s="3">
        <v>11</v>
      </c>
      <c r="B18" s="3">
        <v>1.2561858862754001</v>
      </c>
      <c r="C18" s="11"/>
      <c r="D18" s="11"/>
      <c r="E18" s="12">
        <f t="shared" si="0"/>
        <v>1.2386578802082233</v>
      </c>
      <c r="F18" s="11"/>
      <c r="G18" s="13"/>
      <c r="H18" s="13"/>
      <c r="I18" s="13"/>
    </row>
    <row r="19" spans="1:9" x14ac:dyDescent="0.25">
      <c r="A19" s="4">
        <v>12</v>
      </c>
      <c r="B19" s="3">
        <v>-0.54618107089850598</v>
      </c>
      <c r="C19" s="12">
        <f>AVERAGE(B8:B19)</f>
        <v>1.7528006067176815E-2</v>
      </c>
      <c r="D19" s="12">
        <f>AVERAGE(B20:B31)-C19</f>
        <v>5.392764284744514E-3</v>
      </c>
      <c r="E19" s="12">
        <f>B19-C19</f>
        <v>-0.56370907696568284</v>
      </c>
      <c r="F19" s="11"/>
      <c r="G19" s="13"/>
      <c r="H19" s="13"/>
      <c r="I19" s="13"/>
    </row>
    <row r="20" spans="1:9" x14ac:dyDescent="0.25">
      <c r="A20" s="3">
        <v>13</v>
      </c>
      <c r="B20" s="3">
        <v>-2.8480707506333702E-2</v>
      </c>
      <c r="C20" s="12">
        <f t="shared" ref="C20:C51" si="1">$D$3 * (B20 - E8) + (1 - $D$3) * (C19 + D19)</f>
        <v>4.4146544606072272E-2</v>
      </c>
      <c r="D20" s="12">
        <f>$E$3 * (C20 - C19) + (1 - $E$3) * D19</f>
        <v>5.7111508985567775E-3</v>
      </c>
      <c r="E20" s="13">
        <f>$F$3*(B20-C20)+(1-$F$3)*E8</f>
        <v>-0.23455464089270373</v>
      </c>
      <c r="F20" s="12">
        <f>C19+D19+E8</f>
        <v>-0.23063093849824748</v>
      </c>
      <c r="G20" s="12">
        <f>ABS(B20-F20)</f>
        <v>0.20215023099191379</v>
      </c>
      <c r="H20" s="12">
        <f>(B20-F20)^2</f>
        <v>4.08647158900841E-2</v>
      </c>
      <c r="I20" s="15">
        <f>ABS((B20 - F20) / B20) * 100</f>
        <v>709.77952688485163</v>
      </c>
    </row>
    <row r="21" spans="1:9" x14ac:dyDescent="0.25">
      <c r="A21" s="4">
        <v>14</v>
      </c>
      <c r="B21" s="3">
        <v>0.11276107432601799</v>
      </c>
      <c r="C21" s="12">
        <f t="shared" si="1"/>
        <v>6.1691613002756732E-2</v>
      </c>
      <c r="D21" s="12">
        <f t="shared" ref="D21:D83" si="2">$E$3 * (C21 - C20) + (1 - $E$3) * D20</f>
        <v>5.8886596610286928E-3</v>
      </c>
      <c r="E21" s="13">
        <f>$F$3*(B21-C21)+(1-$F$3)*E9</f>
        <v>-3.9209241190431433E-2</v>
      </c>
      <c r="F21" s="12">
        <f t="shared" ref="F21:F84" si="3">C20+D20+E9</f>
        <v>5.709815337332641E-5</v>
      </c>
      <c r="G21" s="12">
        <f t="shared" ref="G21:G84" si="4">ABS(B21-F21)</f>
        <v>0.11270397617264466</v>
      </c>
      <c r="H21" s="12">
        <f t="shared" ref="H21:H84" si="5">(B21-F21)^2</f>
        <v>1.2702186245124055E-2</v>
      </c>
      <c r="I21" s="15">
        <f t="shared" ref="I21:I84" si="6">ABS((B21 - F21) / B21) * 100</f>
        <v>99.949363595802353</v>
      </c>
    </row>
    <row r="22" spans="1:9" x14ac:dyDescent="0.25">
      <c r="A22" s="3">
        <v>15</v>
      </c>
      <c r="B22" s="3">
        <v>-0.247187044467131</v>
      </c>
      <c r="C22" s="12">
        <f t="shared" si="1"/>
        <v>-6.2805384189809049E-2</v>
      </c>
      <c r="D22" s="12">
        <f t="shared" si="2"/>
        <v>3.9328748082247756E-3</v>
      </c>
      <c r="E22" s="13">
        <f t="shared" ref="E22:E83" si="7">$F$3*(B22-C22)+(1-$F$3)*E10</f>
        <v>0.81030568049554019</v>
      </c>
      <c r="F22" s="12">
        <f t="shared" si="3"/>
        <v>0.99458111604329258</v>
      </c>
      <c r="G22" s="12">
        <f t="shared" si="4"/>
        <v>1.2417681605104236</v>
      </c>
      <c r="H22" s="12">
        <f t="shared" si="5"/>
        <v>1.5419881644574411</v>
      </c>
      <c r="I22" s="15">
        <f t="shared" si="6"/>
        <v>502.35972649268206</v>
      </c>
    </row>
    <row r="23" spans="1:9" x14ac:dyDescent="0.25">
      <c r="A23" s="4">
        <v>16</v>
      </c>
      <c r="B23" s="3">
        <v>-7.68085539888279E-3</v>
      </c>
      <c r="C23" s="12">
        <f t="shared" si="1"/>
        <v>1.9893399348800724E-2</v>
      </c>
      <c r="D23" s="12">
        <f t="shared" si="2"/>
        <v>5.1143634391805507E-3</v>
      </c>
      <c r="E23" s="13">
        <f t="shared" si="7"/>
        <v>-0.62846436942155626</v>
      </c>
      <c r="F23" s="12">
        <f t="shared" si="3"/>
        <v>-0.7578323671168351</v>
      </c>
      <c r="G23" s="12">
        <f t="shared" si="4"/>
        <v>0.75015151171795236</v>
      </c>
      <c r="H23" s="12">
        <f t="shared" si="5"/>
        <v>0.56272729053272919</v>
      </c>
      <c r="I23" s="15">
        <f t="shared" si="6"/>
        <v>9766.5100143281543</v>
      </c>
    </row>
    <row r="24" spans="1:9" x14ac:dyDescent="0.25">
      <c r="A24" s="3">
        <v>17</v>
      </c>
      <c r="B24" s="3">
        <v>8.3598964154677893E-2</v>
      </c>
      <c r="C24" s="12">
        <f t="shared" si="1"/>
        <v>4.019014556713154E-2</v>
      </c>
      <c r="D24" s="12">
        <f t="shared" si="2"/>
        <v>5.3420991808678046E-3</v>
      </c>
      <c r="E24" s="13">
        <f t="shared" si="7"/>
        <v>-7.2414687752156925E-2</v>
      </c>
      <c r="F24" s="12">
        <f t="shared" si="3"/>
        <v>-6.099515755151514E-2</v>
      </c>
      <c r="G24" s="12">
        <f t="shared" si="4"/>
        <v>0.14459412170619304</v>
      </c>
      <c r="H24" s="12">
        <f t="shared" si="5"/>
        <v>2.0907460031985365E-2</v>
      </c>
      <c r="I24" s="15">
        <f t="shared" si="6"/>
        <v>172.96161880506037</v>
      </c>
    </row>
    <row r="25" spans="1:9" x14ac:dyDescent="0.25">
      <c r="A25" s="4">
        <v>18</v>
      </c>
      <c r="B25" s="3">
        <v>0.56907813478416702</v>
      </c>
      <c r="C25" s="12">
        <f t="shared" si="1"/>
        <v>6.9318896698024657E-2</v>
      </c>
      <c r="D25" s="12">
        <f t="shared" si="2"/>
        <v>5.6988989601181837E-3</v>
      </c>
      <c r="E25" s="13">
        <f t="shared" si="7"/>
        <v>0.31829540115024685</v>
      </c>
      <c r="F25" s="12">
        <f t="shared" si="3"/>
        <v>0.34253859240297352</v>
      </c>
      <c r="G25" s="12">
        <f t="shared" si="4"/>
        <v>0.2265395423811935</v>
      </c>
      <c r="H25" s="12">
        <f t="shared" si="5"/>
        <v>5.1320164262280567E-2</v>
      </c>
      <c r="I25" s="15">
        <f t="shared" si="6"/>
        <v>39.808161398981291</v>
      </c>
    </row>
    <row r="26" spans="1:9" x14ac:dyDescent="0.25">
      <c r="A26" s="3">
        <v>19</v>
      </c>
      <c r="B26" s="3">
        <v>-0.10215832598351</v>
      </c>
      <c r="C26" s="12">
        <f t="shared" si="1"/>
        <v>9.5948180791025697E-2</v>
      </c>
      <c r="D26" s="12">
        <f t="shared" si="2"/>
        <v>6.0128547371114264E-3</v>
      </c>
      <c r="E26" s="13">
        <f t="shared" si="7"/>
        <v>-0.35778042821327366</v>
      </c>
      <c r="F26" s="12">
        <f t="shared" si="3"/>
        <v>-0.30149532724906092</v>
      </c>
      <c r="G26" s="12">
        <f t="shared" si="4"/>
        <v>0.19933700126555093</v>
      </c>
      <c r="H26" s="12">
        <f t="shared" si="5"/>
        <v>3.9735240073542254E-2</v>
      </c>
      <c r="I26" s="15">
        <f t="shared" si="6"/>
        <v>195.12555569648541</v>
      </c>
    </row>
    <row r="27" spans="1:9" x14ac:dyDescent="0.25">
      <c r="A27" s="4">
        <v>20</v>
      </c>
      <c r="B27" s="3">
        <v>-0.33599652704481697</v>
      </c>
      <c r="C27" s="12">
        <f t="shared" si="1"/>
        <v>6.7737702510549225E-2</v>
      </c>
      <c r="D27" s="12">
        <f t="shared" si="2"/>
        <v>5.4995047418476073E-3</v>
      </c>
      <c r="E27" s="13">
        <f t="shared" si="7"/>
        <v>-0.14265094069428669</v>
      </c>
      <c r="F27" s="12">
        <f t="shared" si="3"/>
        <v>-1.0060022115408393E-2</v>
      </c>
      <c r="G27" s="12">
        <f t="shared" si="4"/>
        <v>0.32593650492940857</v>
      </c>
      <c r="H27" s="12">
        <f t="shared" si="5"/>
        <v>0.10623460524559837</v>
      </c>
      <c r="I27" s="15">
        <f t="shared" si="6"/>
        <v>97.005914851594127</v>
      </c>
    </row>
    <row r="28" spans="1:9" x14ac:dyDescent="0.25">
      <c r="A28" s="3">
        <v>21</v>
      </c>
      <c r="B28" s="3">
        <v>0.119670563428247</v>
      </c>
      <c r="C28" s="12">
        <f t="shared" si="1"/>
        <v>8.5066510422593916E-2</v>
      </c>
      <c r="D28" s="12">
        <f t="shared" si="2"/>
        <v>5.6769442894005631E-3</v>
      </c>
      <c r="E28" s="13">
        <f t="shared" si="7"/>
        <v>-5.5639447679176633E-2</v>
      </c>
      <c r="F28" s="12">
        <f t="shared" si="3"/>
        <v>7.0105332358938177E-3</v>
      </c>
      <c r="G28" s="12">
        <f t="shared" si="4"/>
        <v>0.11266003019235318</v>
      </c>
      <c r="H28" s="12">
        <f t="shared" si="5"/>
        <v>1.2692282402941931E-2</v>
      </c>
      <c r="I28" s="15">
        <f t="shared" si="6"/>
        <v>94.141806443405571</v>
      </c>
    </row>
    <row r="29" spans="1:9" x14ac:dyDescent="0.25">
      <c r="A29" s="4">
        <v>22</v>
      </c>
      <c r="B29" s="3">
        <v>-3.26239426159146E-2</v>
      </c>
      <c r="C29" s="12">
        <f t="shared" si="1"/>
        <v>0.10465728381309179</v>
      </c>
      <c r="D29" s="12">
        <f t="shared" si="2"/>
        <v>5.8856517259170231E-3</v>
      </c>
      <c r="E29" s="13">
        <f t="shared" si="7"/>
        <v>-0.24342717838811573</v>
      </c>
      <c r="F29" s="12">
        <f t="shared" si="3"/>
        <v>-0.16513660072160335</v>
      </c>
      <c r="G29" s="12">
        <f t="shared" si="4"/>
        <v>0.13251265810568874</v>
      </c>
      <c r="H29" s="12">
        <f t="shared" si="5"/>
        <v>1.7559604558235156E-2</v>
      </c>
      <c r="I29" s="15">
        <f t="shared" si="6"/>
        <v>406.18223145428925</v>
      </c>
    </row>
    <row r="30" spans="1:9" x14ac:dyDescent="0.25">
      <c r="A30" s="3">
        <v>23</v>
      </c>
      <c r="B30" s="3">
        <v>0.61285729443832104</v>
      </c>
      <c r="C30" s="12">
        <f t="shared" si="1"/>
        <v>3.3226865801573163E-2</v>
      </c>
      <c r="D30" s="12">
        <f t="shared" si="2"/>
        <v>4.7259106798554886E-3</v>
      </c>
      <c r="E30" s="13">
        <f t="shared" si="7"/>
        <v>1.1694599977932183</v>
      </c>
      <c r="F30" s="12">
        <f t="shared" si="3"/>
        <v>1.3492008157472322</v>
      </c>
      <c r="G30" s="12">
        <f t="shared" si="4"/>
        <v>0.73634352130891112</v>
      </c>
      <c r="H30" s="12">
        <f t="shared" si="5"/>
        <v>0.54220178137360686</v>
      </c>
      <c r="I30" s="15">
        <f t="shared" si="6"/>
        <v>120.14926280411891</v>
      </c>
    </row>
    <row r="31" spans="1:9" x14ac:dyDescent="0.25">
      <c r="A31" s="4">
        <v>24</v>
      </c>
      <c r="B31" s="3">
        <v>-0.46878938389178598</v>
      </c>
      <c r="C31" s="12">
        <f t="shared" si="1"/>
        <v>4.3934302723637818E-2</v>
      </c>
      <c r="D31" s="12">
        <f t="shared" si="2"/>
        <v>4.8156335734886261E-3</v>
      </c>
      <c r="E31" s="13">
        <f t="shared" si="7"/>
        <v>-0.55835561097890563</v>
      </c>
      <c r="F31" s="12">
        <f t="shared" si="3"/>
        <v>-0.52575630048425415</v>
      </c>
      <c r="G31" s="12">
        <f t="shared" si="4"/>
        <v>5.6966916592468164E-2</v>
      </c>
      <c r="H31" s="12">
        <f t="shared" si="5"/>
        <v>3.2452295860532247E-3</v>
      </c>
      <c r="I31" s="15">
        <f t="shared" si="6"/>
        <v>12.151921214499655</v>
      </c>
    </row>
    <row r="32" spans="1:9" x14ac:dyDescent="0.25">
      <c r="A32" s="3">
        <v>25</v>
      </c>
      <c r="B32" s="3">
        <v>0.690445050154331</v>
      </c>
      <c r="C32" s="12">
        <f t="shared" si="1"/>
        <v>0.14075616054586682</v>
      </c>
      <c r="D32" s="12">
        <f t="shared" si="2"/>
        <v>6.1957269372197319E-3</v>
      </c>
      <c r="E32" s="13">
        <f t="shared" si="7"/>
        <v>-0.15220907019008109</v>
      </c>
      <c r="F32" s="12">
        <f t="shared" si="3"/>
        <v>-0.1858047045955773</v>
      </c>
      <c r="G32" s="12">
        <f t="shared" si="4"/>
        <v>0.87624975474990829</v>
      </c>
      <c r="H32" s="12">
        <f t="shared" si="5"/>
        <v>0.76781363269927438</v>
      </c>
      <c r="I32" s="15">
        <f t="shared" si="6"/>
        <v>126.91086054625859</v>
      </c>
    </row>
    <row r="33" spans="1:9" x14ac:dyDescent="0.25">
      <c r="A33" s="4">
        <v>26</v>
      </c>
      <c r="B33" s="3">
        <v>8.9162729944089492</v>
      </c>
      <c r="C33" s="12">
        <f t="shared" si="1"/>
        <v>1.0718475740352973</v>
      </c>
      <c r="D33" s="12">
        <f t="shared" si="2"/>
        <v>2.0069162235502893E-2</v>
      </c>
      <c r="E33" s="13">
        <f t="shared" si="7"/>
        <v>0.78857239827379733</v>
      </c>
      <c r="F33" s="12">
        <f t="shared" si="3"/>
        <v>0.10774264629265512</v>
      </c>
      <c r="G33" s="12">
        <f t="shared" si="4"/>
        <v>8.8085303481162942</v>
      </c>
      <c r="H33" s="12">
        <f t="shared" si="5"/>
        <v>77.59020689368576</v>
      </c>
      <c r="I33" s="15">
        <f t="shared" si="6"/>
        <v>98.791617906268499</v>
      </c>
    </row>
    <row r="34" spans="1:9" x14ac:dyDescent="0.25">
      <c r="A34" s="3">
        <v>27</v>
      </c>
      <c r="B34" s="3">
        <v>0.70748470610168002</v>
      </c>
      <c r="C34" s="12">
        <f t="shared" si="1"/>
        <v>0.9664692766510109</v>
      </c>
      <c r="D34" s="12">
        <f t="shared" si="2"/>
        <v>1.8187450341206054E-2</v>
      </c>
      <c r="E34" s="13">
        <f t="shared" si="7"/>
        <v>0.69803020413582872</v>
      </c>
      <c r="F34" s="12">
        <f t="shared" si="3"/>
        <v>1.9022224167663404</v>
      </c>
      <c r="G34" s="12">
        <f t="shared" si="4"/>
        <v>1.1947377106646604</v>
      </c>
      <c r="H34" s="12">
        <f t="shared" si="5"/>
        <v>1.4273981972842338</v>
      </c>
      <c r="I34" s="15">
        <f t="shared" si="6"/>
        <v>168.87117139927997</v>
      </c>
    </row>
    <row r="35" spans="1:9" x14ac:dyDescent="0.25">
      <c r="A35" s="4">
        <v>28</v>
      </c>
      <c r="B35" s="3">
        <v>-0.24311391472376401</v>
      </c>
      <c r="C35" s="12">
        <f t="shared" si="1"/>
        <v>0.92172956840130238</v>
      </c>
      <c r="D35" s="12">
        <f t="shared" si="2"/>
        <v>1.7243542962342335E-2</v>
      </c>
      <c r="E35" s="13">
        <f t="shared" si="7"/>
        <v>-0.68478417636042488</v>
      </c>
      <c r="F35" s="12">
        <f t="shared" si="3"/>
        <v>0.3561923575706607</v>
      </c>
      <c r="G35" s="12">
        <f t="shared" si="4"/>
        <v>0.59930627229442468</v>
      </c>
      <c r="H35" s="12">
        <f t="shared" si="5"/>
        <v>0.35916800801143911</v>
      </c>
      <c r="I35" s="15">
        <f t="shared" si="6"/>
        <v>246.51253424773364</v>
      </c>
    </row>
    <row r="36" spans="1:9" x14ac:dyDescent="0.25">
      <c r="A36" s="3">
        <v>29</v>
      </c>
      <c r="B36" s="3">
        <v>0.124061343809053</v>
      </c>
      <c r="C36" s="12">
        <f t="shared" si="1"/>
        <v>0.86101091798438911</v>
      </c>
      <c r="D36" s="12">
        <f t="shared" si="2"/>
        <v>1.6074110061653501E-2</v>
      </c>
      <c r="E36" s="13">
        <f t="shared" si="7"/>
        <v>-0.14219085082659072</v>
      </c>
      <c r="F36" s="12">
        <f t="shared" si="3"/>
        <v>0.86655842361148783</v>
      </c>
      <c r="G36" s="12">
        <f t="shared" si="4"/>
        <v>0.74249707980243485</v>
      </c>
      <c r="H36" s="12">
        <f t="shared" si="5"/>
        <v>0.55130191351514335</v>
      </c>
      <c r="I36" s="15">
        <f t="shared" si="6"/>
        <v>598.49188877498955</v>
      </c>
    </row>
    <row r="37" spans="1:9" x14ac:dyDescent="0.25">
      <c r="A37" s="4">
        <v>30</v>
      </c>
      <c r="B37" s="3">
        <v>0.71313045099099603</v>
      </c>
      <c r="C37" s="12">
        <f t="shared" si="1"/>
        <v>0.82644878033448677</v>
      </c>
      <c r="D37" s="12">
        <f t="shared" si="2"/>
        <v>1.5314566345980163E-2</v>
      </c>
      <c r="E37" s="13">
        <f t="shared" si="7"/>
        <v>0.27297595944840441</v>
      </c>
      <c r="F37" s="12">
        <f t="shared" si="3"/>
        <v>1.1953804291962895</v>
      </c>
      <c r="G37" s="12">
        <f t="shared" si="4"/>
        <v>0.48224997820529347</v>
      </c>
      <c r="H37" s="12">
        <f t="shared" si="5"/>
        <v>0.23256504147900603</v>
      </c>
      <c r="I37" s="15">
        <f t="shared" si="6"/>
        <v>67.62437048300751</v>
      </c>
    </row>
    <row r="38" spans="1:9" x14ac:dyDescent="0.25">
      <c r="A38" s="3">
        <v>31</v>
      </c>
      <c r="B38" s="3">
        <v>-0.37330547436725797</v>
      </c>
      <c r="C38" s="12">
        <f t="shared" si="1"/>
        <v>0.75174806543284955</v>
      </c>
      <c r="D38" s="12">
        <f t="shared" si="2"/>
        <v>1.3964337127265903E-2</v>
      </c>
      <c r="E38" s="13">
        <f t="shared" si="7"/>
        <v>-0.43834410492989123</v>
      </c>
      <c r="F38" s="12">
        <f t="shared" si="3"/>
        <v>0.48398291846719327</v>
      </c>
      <c r="G38" s="12">
        <f t="shared" si="4"/>
        <v>0.85728839283445124</v>
      </c>
      <c r="H38" s="12">
        <f t="shared" si="5"/>
        <v>0.73494338848867635</v>
      </c>
      <c r="I38" s="15">
        <f t="shared" si="6"/>
        <v>229.6479563519743</v>
      </c>
    </row>
    <row r="39" spans="1:9" x14ac:dyDescent="0.25">
      <c r="A39" s="4">
        <v>32</v>
      </c>
      <c r="B39" s="3">
        <v>-0.102669754965166</v>
      </c>
      <c r="C39" s="12">
        <f t="shared" si="1"/>
        <v>0.68951062479286096</v>
      </c>
      <c r="D39" s="12">
        <f t="shared" si="2"/>
        <v>1.2821310460757086E-2</v>
      </c>
      <c r="E39" s="13">
        <f t="shared" si="7"/>
        <v>-0.2108515317959794</v>
      </c>
      <c r="F39" s="12">
        <f t="shared" si="3"/>
        <v>0.62306146186582878</v>
      </c>
      <c r="G39" s="12">
        <f t="shared" si="4"/>
        <v>0.72573121683099484</v>
      </c>
      <c r="H39" s="12">
        <f t="shared" si="5"/>
        <v>0.5266857990829964</v>
      </c>
      <c r="I39" s="15">
        <f t="shared" si="6"/>
        <v>706.85979242594112</v>
      </c>
    </row>
    <row r="40" spans="1:9" x14ac:dyDescent="0.25">
      <c r="A40" s="3">
        <v>33</v>
      </c>
      <c r="B40" s="3">
        <v>-0.20412167573607201</v>
      </c>
      <c r="C40" s="12">
        <f t="shared" si="1"/>
        <v>0.61299644810601406</v>
      </c>
      <c r="D40" s="12">
        <f t="shared" si="2"/>
        <v>1.1481278153543027E-2</v>
      </c>
      <c r="E40" s="13">
        <f t="shared" si="7"/>
        <v>-0.13559470867628212</v>
      </c>
      <c r="F40" s="12">
        <f t="shared" si="3"/>
        <v>0.64669248757444142</v>
      </c>
      <c r="G40" s="12">
        <f t="shared" si="4"/>
        <v>0.8508141633105134</v>
      </c>
      <c r="H40" s="12">
        <f t="shared" si="5"/>
        <v>0.72388474048976903</v>
      </c>
      <c r="I40" s="15">
        <f t="shared" si="6"/>
        <v>416.81715586668543</v>
      </c>
    </row>
    <row r="41" spans="1:9" x14ac:dyDescent="0.25">
      <c r="A41" s="4">
        <v>34</v>
      </c>
      <c r="B41" s="3">
        <v>1.06658355339182E-2</v>
      </c>
      <c r="C41" s="12">
        <f t="shared" si="1"/>
        <v>0.58558733146411723</v>
      </c>
      <c r="D41" s="12">
        <f t="shared" si="2"/>
        <v>1.0897922231611429E-2</v>
      </c>
      <c r="E41" s="13">
        <f t="shared" si="7"/>
        <v>-0.2782340817300345</v>
      </c>
      <c r="F41" s="12">
        <f t="shared" si="3"/>
        <v>0.38105054787144138</v>
      </c>
      <c r="G41" s="12">
        <f t="shared" si="4"/>
        <v>0.37038471233752318</v>
      </c>
      <c r="H41" s="12">
        <f t="shared" si="5"/>
        <v>0.13718483513334981</v>
      </c>
      <c r="I41" s="15">
        <f t="shared" si="6"/>
        <v>3472.6272607492447</v>
      </c>
    </row>
    <row r="42" spans="1:9" x14ac:dyDescent="0.25">
      <c r="A42" s="3">
        <v>35</v>
      </c>
      <c r="B42" s="3">
        <v>0.80516395468998203</v>
      </c>
      <c r="C42" s="12">
        <f t="shared" si="1"/>
        <v>0.49560321753183734</v>
      </c>
      <c r="D42" s="12">
        <f t="shared" si="2"/>
        <v>9.3846916891530581E-3</v>
      </c>
      <c r="E42" s="13">
        <f t="shared" si="7"/>
        <v>1.0791705754265355</v>
      </c>
      <c r="F42" s="12">
        <f t="shared" si="3"/>
        <v>1.7659452514889469</v>
      </c>
      <c r="G42" s="12">
        <f t="shared" si="4"/>
        <v>0.96078129679896485</v>
      </c>
      <c r="H42" s="12">
        <f t="shared" si="5"/>
        <v>0.92310070027870061</v>
      </c>
      <c r="I42" s="15">
        <f t="shared" si="6"/>
        <v>119.32741042399262</v>
      </c>
    </row>
    <row r="43" spans="1:9" x14ac:dyDescent="0.25">
      <c r="A43" s="4">
        <v>36</v>
      </c>
      <c r="B43" s="3">
        <v>-0.57394901311540403</v>
      </c>
      <c r="C43" s="12">
        <f t="shared" si="1"/>
        <v>0.45032687152845408</v>
      </c>
      <c r="D43" s="12">
        <f t="shared" si="2"/>
        <v>8.5647761237650135E-3</v>
      </c>
      <c r="E43" s="13">
        <f t="shared" si="7"/>
        <v>-0.6072772397137256</v>
      </c>
      <c r="F43" s="12">
        <f t="shared" si="3"/>
        <v>-5.3367701757915276E-2</v>
      </c>
      <c r="G43" s="12">
        <f t="shared" si="4"/>
        <v>0.52058131135748875</v>
      </c>
      <c r="H43" s="12">
        <f t="shared" si="5"/>
        <v>0.27100490173468267</v>
      </c>
      <c r="I43" s="15">
        <f t="shared" si="6"/>
        <v>90.701665036719106</v>
      </c>
    </row>
    <row r="44" spans="1:9" x14ac:dyDescent="0.25">
      <c r="A44" s="3">
        <v>37</v>
      </c>
      <c r="B44" s="3">
        <v>-1.34352938959948E-2</v>
      </c>
      <c r="C44" s="12">
        <f t="shared" si="1"/>
        <v>0.42527927115961511</v>
      </c>
      <c r="D44" s="12">
        <f t="shared" si="2"/>
        <v>8.0605904763759537E-3</v>
      </c>
      <c r="E44" s="13">
        <f t="shared" si="7"/>
        <v>-0.18229214715096162</v>
      </c>
      <c r="F44" s="12">
        <f t="shared" si="3"/>
        <v>0.30668257746213801</v>
      </c>
      <c r="G44" s="12">
        <f t="shared" si="4"/>
        <v>0.3201178713581328</v>
      </c>
      <c r="H44" s="12">
        <f t="shared" si="5"/>
        <v>0.10247545156286206</v>
      </c>
      <c r="I44" s="15">
        <f t="shared" si="6"/>
        <v>2382.6637052842084</v>
      </c>
    </row>
    <row r="45" spans="1:9" x14ac:dyDescent="0.25">
      <c r="A45" s="4">
        <v>38</v>
      </c>
      <c r="B45" s="3">
        <v>0.120851075635589</v>
      </c>
      <c r="C45" s="12">
        <f t="shared" si="1"/>
        <v>0.31772843728720018</v>
      </c>
      <c r="D45" s="12">
        <f t="shared" si="2"/>
        <v>6.3264191111440911E-3</v>
      </c>
      <c r="E45" s="13">
        <f t="shared" si="7"/>
        <v>0.68510017348162944</v>
      </c>
      <c r="F45" s="12">
        <f t="shared" si="3"/>
        <v>1.2219122599097885</v>
      </c>
      <c r="G45" s="12">
        <f t="shared" si="4"/>
        <v>1.1010611842741995</v>
      </c>
      <c r="H45" s="12">
        <f t="shared" si="5"/>
        <v>1.2123357315153027</v>
      </c>
      <c r="I45" s="15">
        <f t="shared" si="6"/>
        <v>911.08927122362479</v>
      </c>
    </row>
    <row r="46" spans="1:9" x14ac:dyDescent="0.25">
      <c r="A46" s="3">
        <v>39</v>
      </c>
      <c r="B46" s="3">
        <v>-7.9770484341740597E-2</v>
      </c>
      <c r="C46" s="12">
        <f t="shared" si="1"/>
        <v>0.20836002418637331</v>
      </c>
      <c r="D46" s="12">
        <f t="shared" si="2"/>
        <v>4.5909966279645276E-3</v>
      </c>
      <c r="E46" s="13">
        <f t="shared" si="7"/>
        <v>0.5944833293061148</v>
      </c>
      <c r="F46" s="12">
        <f t="shared" si="3"/>
        <v>1.0220850605341729</v>
      </c>
      <c r="G46" s="12">
        <f t="shared" si="4"/>
        <v>1.1018555448759135</v>
      </c>
      <c r="H46" s="12">
        <f t="shared" si="5"/>
        <v>1.2140856417737962</v>
      </c>
      <c r="I46" s="15">
        <f t="shared" si="6"/>
        <v>1381.2822549196408</v>
      </c>
    </row>
    <row r="47" spans="1:9" x14ac:dyDescent="0.25">
      <c r="A47" s="4">
        <v>40</v>
      </c>
      <c r="B47" s="3">
        <v>-0.21778223060075599</v>
      </c>
      <c r="C47" s="12">
        <f t="shared" si="1"/>
        <v>0.23962636793359759</v>
      </c>
      <c r="D47" s="12">
        <f t="shared" si="2"/>
        <v>4.9911268347534246E-3</v>
      </c>
      <c r="E47" s="13">
        <f t="shared" si="7"/>
        <v>-0.66090974068868746</v>
      </c>
      <c r="F47" s="12">
        <f t="shared" si="3"/>
        <v>-0.47183315554608707</v>
      </c>
      <c r="G47" s="12">
        <f t="shared" si="4"/>
        <v>0.2540509249453311</v>
      </c>
      <c r="H47" s="12">
        <f t="shared" si="5"/>
        <v>6.4541872465578257E-2</v>
      </c>
      <c r="I47" s="15">
        <f t="shared" si="6"/>
        <v>116.65365178992211</v>
      </c>
    </row>
    <row r="48" spans="1:9" x14ac:dyDescent="0.25">
      <c r="A48" s="3">
        <v>41</v>
      </c>
      <c r="B48" s="3">
        <v>2.14980478568754E-2</v>
      </c>
      <c r="C48" s="12">
        <f t="shared" si="1"/>
        <v>0.2361199921794381</v>
      </c>
      <c r="D48" s="12">
        <f t="shared" si="2"/>
        <v>4.8636642959197307E-3</v>
      </c>
      <c r="E48" s="13">
        <f t="shared" si="7"/>
        <v>-0.14979611564366779</v>
      </c>
      <c r="F48" s="12">
        <f t="shared" si="3"/>
        <v>0.10242664394176029</v>
      </c>
      <c r="G48" s="12">
        <f t="shared" si="4"/>
        <v>8.0928596084884896E-2</v>
      </c>
      <c r="H48" s="12">
        <f t="shared" si="5"/>
        <v>6.5494376642704468E-3</v>
      </c>
      <c r="I48" s="15">
        <f t="shared" si="6"/>
        <v>376.44625513754596</v>
      </c>
    </row>
    <row r="49" spans="1:9" x14ac:dyDescent="0.25">
      <c r="A49" s="4">
        <v>42</v>
      </c>
      <c r="B49" s="3">
        <v>0.77905119738511897</v>
      </c>
      <c r="C49" s="12">
        <f t="shared" si="1"/>
        <v>0.26881827252880031</v>
      </c>
      <c r="D49" s="12">
        <f t="shared" si="2"/>
        <v>5.2811835367213671E-3</v>
      </c>
      <c r="E49" s="13">
        <f t="shared" si="7"/>
        <v>0.29788794081623537</v>
      </c>
      <c r="F49" s="12">
        <f t="shared" si="3"/>
        <v>0.51395961592376227</v>
      </c>
      <c r="G49" s="12">
        <f t="shared" si="4"/>
        <v>0.2650915814613567</v>
      </c>
      <c r="H49" s="12">
        <f t="shared" si="5"/>
        <v>7.0273546561683109E-2</v>
      </c>
      <c r="I49" s="15">
        <f t="shared" si="6"/>
        <v>34.027491691320819</v>
      </c>
    </row>
    <row r="50" spans="1:9" x14ac:dyDescent="0.25">
      <c r="A50" s="3">
        <v>43</v>
      </c>
      <c r="B50" s="3">
        <v>-0.27369799444383203</v>
      </c>
      <c r="C50" s="12">
        <f t="shared" si="1"/>
        <v>0.2626068547796781</v>
      </c>
      <c r="D50" s="12">
        <f t="shared" si="2"/>
        <v>5.1087945174337129E-3</v>
      </c>
      <c r="E50" s="13">
        <f t="shared" si="7"/>
        <v>-0.44862998308072122</v>
      </c>
      <c r="F50" s="12">
        <f t="shared" si="3"/>
        <v>-0.16424464886436957</v>
      </c>
      <c r="G50" s="12">
        <f t="shared" si="4"/>
        <v>0.10945334557946246</v>
      </c>
      <c r="H50" s="12">
        <f t="shared" si="5"/>
        <v>1.1980034858537233E-2</v>
      </c>
      <c r="I50" s="15">
        <f t="shared" si="6"/>
        <v>39.990554480268337</v>
      </c>
    </row>
    <row r="51" spans="1:9" x14ac:dyDescent="0.25">
      <c r="A51" s="4">
        <v>44</v>
      </c>
      <c r="B51" s="3">
        <v>0.22969679698870399</v>
      </c>
      <c r="C51" s="12">
        <f t="shared" si="1"/>
        <v>0.28586308064330684</v>
      </c>
      <c r="D51" s="12">
        <f t="shared" si="2"/>
        <v>5.3810059876266388E-3</v>
      </c>
      <c r="E51" s="13">
        <f t="shared" si="7"/>
        <v>-0.19460958074113485</v>
      </c>
      <c r="F51" s="12">
        <f t="shared" si="3"/>
        <v>5.6864117501132433E-2</v>
      </c>
      <c r="G51" s="12">
        <f t="shared" si="4"/>
        <v>0.17283267948757156</v>
      </c>
      <c r="H51" s="12">
        <f t="shared" si="5"/>
        <v>2.9871135098853637E-2</v>
      </c>
      <c r="I51" s="15">
        <f t="shared" si="6"/>
        <v>75.243835244281229</v>
      </c>
    </row>
    <row r="52" spans="1:9" x14ac:dyDescent="0.25">
      <c r="A52" s="3">
        <v>45</v>
      </c>
      <c r="B52" s="3">
        <v>0.66255239378191699</v>
      </c>
      <c r="C52" s="12">
        <f t="shared" ref="C52:C83" si="8">$D$3 * (B52 - E40) + (1 - $D$3) * (C51 + D51)</f>
        <v>0.34446890329279634</v>
      </c>
      <c r="D52" s="12">
        <f t="shared" si="2"/>
        <v>6.179378237554582E-3</v>
      </c>
      <c r="E52" s="13">
        <f t="shared" si="7"/>
        <v>-8.7958497763914845E-2</v>
      </c>
      <c r="F52" s="12">
        <f t="shared" si="3"/>
        <v>0.15564937795465136</v>
      </c>
      <c r="G52" s="12">
        <f t="shared" si="4"/>
        <v>0.5069030158272656</v>
      </c>
      <c r="H52" s="12">
        <f t="shared" si="5"/>
        <v>0.25695066745477707</v>
      </c>
      <c r="I52" s="15">
        <f t="shared" si="6"/>
        <v>76.507612165403444</v>
      </c>
    </row>
    <row r="53" spans="1:9" x14ac:dyDescent="0.25">
      <c r="A53" s="4">
        <v>46</v>
      </c>
      <c r="B53" s="3">
        <v>1.4636839748138699</v>
      </c>
      <c r="C53" s="12">
        <f t="shared" si="8"/>
        <v>0.49673160790677406</v>
      </c>
      <c r="D53" s="12">
        <f t="shared" si="2"/>
        <v>8.3706281332009292E-3</v>
      </c>
      <c r="E53" s="13">
        <f t="shared" si="7"/>
        <v>-0.14748950462313581</v>
      </c>
      <c r="F53" s="12">
        <f t="shared" si="3"/>
        <v>7.2414199800316437E-2</v>
      </c>
      <c r="G53" s="12">
        <f t="shared" si="4"/>
        <v>1.3912697750135534</v>
      </c>
      <c r="H53" s="12">
        <f t="shared" si="5"/>
        <v>1.9356315868662635</v>
      </c>
      <c r="I53" s="15">
        <f t="shared" si="6"/>
        <v>95.052606911985563</v>
      </c>
    </row>
    <row r="54" spans="1:9" x14ac:dyDescent="0.25">
      <c r="A54" s="3">
        <v>47</v>
      </c>
      <c r="B54" s="3">
        <v>1.1222167042489499</v>
      </c>
      <c r="C54" s="12">
        <f t="shared" si="8"/>
        <v>0.45658634478213111</v>
      </c>
      <c r="D54" s="12">
        <f t="shared" si="2"/>
        <v>7.6428897643332711E-3</v>
      </c>
      <c r="E54" s="13">
        <f t="shared" si="7"/>
        <v>1.0357488527507652</v>
      </c>
      <c r="F54" s="12">
        <f t="shared" si="3"/>
        <v>1.5842728114665103</v>
      </c>
      <c r="G54" s="12">
        <f t="shared" si="4"/>
        <v>0.46205610721756041</v>
      </c>
      <c r="H54" s="12">
        <f t="shared" si="5"/>
        <v>0.21349584621704568</v>
      </c>
      <c r="I54" s="15">
        <f t="shared" si="6"/>
        <v>41.173518935168062</v>
      </c>
    </row>
    <row r="55" spans="1:9" x14ac:dyDescent="0.25">
      <c r="A55" s="4">
        <v>48</v>
      </c>
      <c r="B55" s="3">
        <v>-0.246848692912848</v>
      </c>
      <c r="C55" s="12">
        <f t="shared" si="8"/>
        <v>0.45333016233317774</v>
      </c>
      <c r="D55" s="12">
        <f t="shared" si="2"/>
        <v>7.4794036811339712E-3</v>
      </c>
      <c r="E55" s="13">
        <f t="shared" si="7"/>
        <v>-0.61703190934461705</v>
      </c>
      <c r="F55" s="12">
        <f t="shared" si="3"/>
        <v>-0.14304800516726124</v>
      </c>
      <c r="G55" s="12">
        <f t="shared" si="4"/>
        <v>0.10380068774558676</v>
      </c>
      <c r="H55" s="12">
        <f t="shared" si="5"/>
        <v>1.0774582776456806E-2</v>
      </c>
      <c r="I55" s="15">
        <f t="shared" si="6"/>
        <v>42.050329098657393</v>
      </c>
    </row>
    <row r="56" spans="1:9" x14ac:dyDescent="0.25">
      <c r="A56" s="3">
        <v>49</v>
      </c>
      <c r="B56" s="3">
        <v>-0.252364777146034</v>
      </c>
      <c r="C56" s="12">
        <f t="shared" si="8"/>
        <v>0.40506693543332639</v>
      </c>
      <c r="D56" s="12">
        <f t="shared" si="2"/>
        <v>6.643264222419191E-3</v>
      </c>
      <c r="E56" s="13">
        <f t="shared" si="7"/>
        <v>-0.23218180152094348</v>
      </c>
      <c r="F56" s="12">
        <f t="shared" si="3"/>
        <v>0.27851741886335013</v>
      </c>
      <c r="G56" s="12">
        <f t="shared" si="4"/>
        <v>0.53088219600938413</v>
      </c>
      <c r="H56" s="12">
        <f t="shared" si="5"/>
        <v>0.28183590603974618</v>
      </c>
      <c r="I56" s="15">
        <f t="shared" si="6"/>
        <v>210.36303164533243</v>
      </c>
    </row>
    <row r="57" spans="1:9" x14ac:dyDescent="0.25">
      <c r="A57" s="4">
        <v>50</v>
      </c>
      <c r="B57" s="3">
        <v>0.48728743959614801</v>
      </c>
      <c r="C57" s="12">
        <f t="shared" si="8"/>
        <v>0.34771029163391676</v>
      </c>
      <c r="D57" s="12">
        <f t="shared" si="2"/>
        <v>5.6832656020917582E-3</v>
      </c>
      <c r="E57" s="13">
        <f t="shared" si="7"/>
        <v>0.62782025580209266</v>
      </c>
      <c r="F57" s="12">
        <f t="shared" si="3"/>
        <v>1.0968103731373751</v>
      </c>
      <c r="G57" s="12">
        <f t="shared" si="4"/>
        <v>0.60952293354122711</v>
      </c>
      <c r="H57" s="12">
        <f t="shared" si="5"/>
        <v>0.37151820651270318</v>
      </c>
      <c r="I57" s="15">
        <f t="shared" si="6"/>
        <v>125.08488502112529</v>
      </c>
    </row>
    <row r="58" spans="1:9" x14ac:dyDescent="0.25">
      <c r="A58" s="3">
        <v>51</v>
      </c>
      <c r="B58" s="3">
        <v>-0.22235380877447999</v>
      </c>
      <c r="C58" s="12">
        <f t="shared" si="8"/>
        <v>0.23051933422776519</v>
      </c>
      <c r="D58" s="12">
        <f t="shared" si="2"/>
        <v>3.8401522569681077E-3</v>
      </c>
      <c r="E58" s="13">
        <f t="shared" si="7"/>
        <v>0.48451089971373701</v>
      </c>
      <c r="F58" s="12">
        <f t="shared" si="3"/>
        <v>0.94787688654212332</v>
      </c>
      <c r="G58" s="12">
        <f t="shared" si="4"/>
        <v>1.1702306953166033</v>
      </c>
      <c r="H58" s="12">
        <f t="shared" si="5"/>
        <v>1.3694398802611807</v>
      </c>
      <c r="I58" s="15">
        <f t="shared" si="6"/>
        <v>526.29217451521026</v>
      </c>
    </row>
    <row r="59" spans="1:9" x14ac:dyDescent="0.25">
      <c r="A59" s="4">
        <v>52</v>
      </c>
      <c r="B59" s="3">
        <v>0.13211731330155499</v>
      </c>
      <c r="C59" s="12">
        <f t="shared" si="8"/>
        <v>0.29301958107281173</v>
      </c>
      <c r="D59" s="12">
        <f t="shared" si="2"/>
        <v>4.720053675789284E-3</v>
      </c>
      <c r="E59" s="13">
        <f t="shared" si="7"/>
        <v>-0.60840895603235723</v>
      </c>
      <c r="F59" s="12">
        <f t="shared" si="3"/>
        <v>-0.4265502542039542</v>
      </c>
      <c r="G59" s="12">
        <f t="shared" si="4"/>
        <v>0.55866756750550917</v>
      </c>
      <c r="H59" s="12">
        <f t="shared" si="5"/>
        <v>0.31210945098252263</v>
      </c>
      <c r="I59" s="15">
        <f t="shared" si="6"/>
        <v>422.85719679324859</v>
      </c>
    </row>
    <row r="60" spans="1:9" x14ac:dyDescent="0.25">
      <c r="A60" s="3">
        <v>53</v>
      </c>
      <c r="B60" s="3">
        <v>5.38506185039875E-2</v>
      </c>
      <c r="C60" s="12">
        <f t="shared" si="8"/>
        <v>0.28785988018550168</v>
      </c>
      <c r="D60" s="12">
        <f t="shared" si="2"/>
        <v>4.5718573573427937E-3</v>
      </c>
      <c r="E60" s="13">
        <f t="shared" si="7"/>
        <v>-0.15863849597764165</v>
      </c>
      <c r="F60" s="12">
        <f t="shared" si="3"/>
        <v>0.1479435191049332</v>
      </c>
      <c r="G60" s="12">
        <f t="shared" si="4"/>
        <v>9.4092900600945689E-2</v>
      </c>
      <c r="H60" s="12">
        <f t="shared" si="5"/>
        <v>8.8534739434994458E-3</v>
      </c>
      <c r="I60" s="15">
        <f t="shared" si="6"/>
        <v>174.72947055190897</v>
      </c>
    </row>
    <row r="61" spans="1:9" x14ac:dyDescent="0.25">
      <c r="A61" s="4">
        <v>54</v>
      </c>
      <c r="B61" s="3">
        <v>0.730570369744035</v>
      </c>
      <c r="C61" s="12">
        <f t="shared" si="8"/>
        <v>0.30715806013826474</v>
      </c>
      <c r="D61" s="12">
        <f t="shared" si="2"/>
        <v>4.7927521962740976E-3</v>
      </c>
      <c r="E61" s="13">
        <f t="shared" si="7"/>
        <v>0.31106799953913655</v>
      </c>
      <c r="F61" s="12">
        <f t="shared" si="3"/>
        <v>0.59031967835907984</v>
      </c>
      <c r="G61" s="12">
        <f t="shared" si="4"/>
        <v>0.14025069138495516</v>
      </c>
      <c r="H61" s="12">
        <f t="shared" si="5"/>
        <v>1.9670256433957936E-2</v>
      </c>
      <c r="I61" s="15">
        <f t="shared" si="6"/>
        <v>19.197423984508685</v>
      </c>
    </row>
    <row r="62" spans="1:9" x14ac:dyDescent="0.25">
      <c r="A62" s="3">
        <v>55</v>
      </c>
      <c r="B62" s="3">
        <v>-0.24591455587688299</v>
      </c>
      <c r="C62" s="12">
        <f t="shared" si="8"/>
        <v>0.30048109689581531</v>
      </c>
      <c r="D62" s="12">
        <f t="shared" si="2"/>
        <v>4.6207064646932444E-3</v>
      </c>
      <c r="E62" s="13">
        <f t="shared" si="7"/>
        <v>-0.45889537839837885</v>
      </c>
      <c r="F62" s="12">
        <f t="shared" si="3"/>
        <v>-0.13667917074618235</v>
      </c>
      <c r="G62" s="12">
        <f t="shared" si="4"/>
        <v>0.10923538513070064</v>
      </c>
      <c r="H62" s="12">
        <f t="shared" si="5"/>
        <v>1.1932369364652494E-2</v>
      </c>
      <c r="I62" s="15">
        <f t="shared" si="6"/>
        <v>44.420056690499152</v>
      </c>
    </row>
    <row r="63" spans="1:9" x14ac:dyDescent="0.25">
      <c r="A63" s="4">
        <v>56</v>
      </c>
      <c r="B63" s="3">
        <v>0.12614791326566299</v>
      </c>
      <c r="C63" s="12">
        <f t="shared" si="8"/>
        <v>0.30674565087836897</v>
      </c>
      <c r="D63" s="12">
        <f t="shared" si="2"/>
        <v>4.6453641774611507E-3</v>
      </c>
      <c r="E63" s="13">
        <f t="shared" si="7"/>
        <v>-0.19313833721264981</v>
      </c>
      <c r="F63" s="12">
        <f t="shared" si="3"/>
        <v>0.11049222261937372</v>
      </c>
      <c r="G63" s="12">
        <f t="shared" si="4"/>
        <v>1.5655690646289272E-2</v>
      </c>
      <c r="H63" s="12">
        <f t="shared" si="5"/>
        <v>2.4510064961230941E-4</v>
      </c>
      <c r="I63" s="15">
        <f t="shared" si="6"/>
        <v>12.410582340207997</v>
      </c>
    </row>
    <row r="64" spans="1:9" x14ac:dyDescent="0.25">
      <c r="A64" s="3">
        <v>57</v>
      </c>
      <c r="B64" s="3">
        <v>0.197967110860399</v>
      </c>
      <c r="C64" s="12">
        <f t="shared" si="8"/>
        <v>0.30871714738052092</v>
      </c>
      <c r="D64" s="12">
        <f t="shared" si="2"/>
        <v>4.6052561623315122E-3</v>
      </c>
      <c r="E64" s="13">
        <f t="shared" si="7"/>
        <v>-9.0351609333316582E-2</v>
      </c>
      <c r="F64" s="12">
        <f t="shared" si="3"/>
        <v>0.22343251729191527</v>
      </c>
      <c r="G64" s="12">
        <f t="shared" si="4"/>
        <v>2.5465406431516263E-2</v>
      </c>
      <c r="H64" s="12">
        <f t="shared" si="5"/>
        <v>6.4848692472230989E-4</v>
      </c>
      <c r="I64" s="15">
        <f t="shared" si="6"/>
        <v>12.863453086141046</v>
      </c>
    </row>
    <row r="65" spans="1:9" x14ac:dyDescent="0.25">
      <c r="A65" s="4">
        <v>58</v>
      </c>
      <c r="B65" s="3">
        <v>0.47119140311089602</v>
      </c>
      <c r="C65" s="12">
        <f t="shared" si="8"/>
        <v>0.34538504648292628</v>
      </c>
      <c r="D65" s="12">
        <f t="shared" si="2"/>
        <v>5.0861958064326203E-3</v>
      </c>
      <c r="E65" s="13">
        <f t="shared" si="7"/>
        <v>-0.11879343919176974</v>
      </c>
      <c r="F65" s="12">
        <f t="shared" si="3"/>
        <v>0.16583289891971664</v>
      </c>
      <c r="G65" s="12">
        <f t="shared" si="4"/>
        <v>0.30535850419117938</v>
      </c>
      <c r="H65" s="12">
        <f t="shared" si="5"/>
        <v>9.3243816081874514E-2</v>
      </c>
      <c r="I65" s="15">
        <f t="shared" si="6"/>
        <v>64.805618730550677</v>
      </c>
    </row>
    <row r="66" spans="1:9" x14ac:dyDescent="0.25">
      <c r="A66" s="3">
        <v>59</v>
      </c>
      <c r="B66" s="3">
        <v>1.10887963110716</v>
      </c>
      <c r="C66" s="12">
        <f t="shared" si="8"/>
        <v>0.32135049357639767</v>
      </c>
      <c r="D66" s="12">
        <f t="shared" si="2"/>
        <v>4.6493845757382014E-3</v>
      </c>
      <c r="E66" s="13">
        <f t="shared" si="7"/>
        <v>1.0096857826526651</v>
      </c>
      <c r="F66" s="12">
        <f t="shared" si="3"/>
        <v>1.386220095040124</v>
      </c>
      <c r="G66" s="12">
        <f t="shared" si="4"/>
        <v>0.27734046393296397</v>
      </c>
      <c r="H66" s="12">
        <f t="shared" si="5"/>
        <v>7.6917732934551689E-2</v>
      </c>
      <c r="I66" s="15">
        <f t="shared" si="6"/>
        <v>25.010871888417103</v>
      </c>
    </row>
    <row r="67" spans="1:9" x14ac:dyDescent="0.25">
      <c r="A67" s="4">
        <v>60</v>
      </c>
      <c r="B67" s="3">
        <v>-0.51656035743189699</v>
      </c>
      <c r="C67" s="12">
        <f t="shared" si="8"/>
        <v>0.30231940389699724</v>
      </c>
      <c r="D67" s="12">
        <f t="shared" si="2"/>
        <v>4.2941774619111219E-3</v>
      </c>
      <c r="E67" s="13">
        <f t="shared" si="7"/>
        <v>-0.63822593380296611</v>
      </c>
      <c r="F67" s="12">
        <f t="shared" si="3"/>
        <v>-0.29103203119248117</v>
      </c>
      <c r="G67" s="12">
        <f t="shared" si="4"/>
        <v>0.22552832623941582</v>
      </c>
      <c r="H67" s="12">
        <f t="shared" si="5"/>
        <v>5.0863025936352377E-2</v>
      </c>
      <c r="I67" s="15">
        <f t="shared" si="6"/>
        <v>43.659627184834704</v>
      </c>
    </row>
    <row r="68" spans="1:9" x14ac:dyDescent="0.25">
      <c r="A68" s="3">
        <v>61</v>
      </c>
      <c r="B68" s="3">
        <v>-9.9131238838018595E-2</v>
      </c>
      <c r="C68" s="12">
        <f t="shared" si="8"/>
        <v>0.28838946439793012</v>
      </c>
      <c r="D68" s="12">
        <f t="shared" si="2"/>
        <v>4.0208157074964482E-3</v>
      </c>
      <c r="E68" s="13">
        <f t="shared" si="7"/>
        <v>-0.24849238620101904</v>
      </c>
      <c r="F68" s="12">
        <f t="shared" si="3"/>
        <v>7.4431779837964895E-2</v>
      </c>
      <c r="G68" s="12">
        <f t="shared" si="4"/>
        <v>0.1735630186759835</v>
      </c>
      <c r="H68" s="12">
        <f t="shared" si="5"/>
        <v>3.01241214519198E-2</v>
      </c>
      <c r="I68" s="15">
        <f t="shared" si="6"/>
        <v>175.0840811740355</v>
      </c>
    </row>
    <row r="69" spans="1:9" x14ac:dyDescent="0.25">
      <c r="A69" s="4">
        <v>62</v>
      </c>
      <c r="B69" s="3">
        <v>9.3292876050985199E-2</v>
      </c>
      <c r="C69" s="12">
        <f t="shared" si="8"/>
        <v>0.2055818258204905</v>
      </c>
      <c r="D69" s="12">
        <f t="shared" si="2"/>
        <v>2.718388893222407E-3</v>
      </c>
      <c r="E69" s="13">
        <f t="shared" si="7"/>
        <v>0.55010878921707496</v>
      </c>
      <c r="F69" s="12">
        <f t="shared" si="3"/>
        <v>0.92023053590751924</v>
      </c>
      <c r="G69" s="12">
        <f t="shared" si="4"/>
        <v>0.826937659856534</v>
      </c>
      <c r="H69" s="12">
        <f t="shared" si="5"/>
        <v>0.68382589328900067</v>
      </c>
      <c r="I69" s="15">
        <f t="shared" si="6"/>
        <v>886.38885932148435</v>
      </c>
    </row>
    <row r="70" spans="1:9" x14ac:dyDescent="0.25">
      <c r="A70" s="3">
        <v>63</v>
      </c>
      <c r="B70" s="3">
        <v>0.467018140653845</v>
      </c>
      <c r="C70" s="12">
        <f t="shared" si="8"/>
        <v>0.18459195246748439</v>
      </c>
      <c r="D70" s="12">
        <f t="shared" si="2"/>
        <v>2.3627649595289791E-3</v>
      </c>
      <c r="E70" s="13">
        <f t="shared" si="7"/>
        <v>0.46329200500336254</v>
      </c>
      <c r="F70" s="12">
        <f t="shared" si="3"/>
        <v>0.69281111442744991</v>
      </c>
      <c r="G70" s="12">
        <f t="shared" si="4"/>
        <v>0.22579297377360491</v>
      </c>
      <c r="H70" s="12">
        <f t="shared" si="5"/>
        <v>5.0982467005527832E-2</v>
      </c>
      <c r="I70" s="15">
        <f t="shared" si="6"/>
        <v>48.34779511080346</v>
      </c>
    </row>
    <row r="71" spans="1:9" x14ac:dyDescent="0.25">
      <c r="A71" s="4">
        <v>64</v>
      </c>
      <c r="B71" s="3">
        <v>-0.218122417041786</v>
      </c>
      <c r="C71" s="12">
        <f t="shared" si="8"/>
        <v>0.20830455869118694</v>
      </c>
      <c r="D71" s="12">
        <f t="shared" si="2"/>
        <v>2.6830125784915826E-3</v>
      </c>
      <c r="E71" s="13">
        <f t="shared" si="7"/>
        <v>-0.58930084810092187</v>
      </c>
      <c r="F71" s="12">
        <f t="shared" si="3"/>
        <v>-0.42145423860534387</v>
      </c>
      <c r="G71" s="12">
        <f t="shared" si="4"/>
        <v>0.20333182156355786</v>
      </c>
      <c r="H71" s="12">
        <f t="shared" si="5"/>
        <v>4.1343829660354534E-2</v>
      </c>
      <c r="I71" s="15">
        <f t="shared" si="6"/>
        <v>93.219130945447631</v>
      </c>
    </row>
    <row r="72" spans="1:9" x14ac:dyDescent="0.25">
      <c r="A72" s="3">
        <v>65</v>
      </c>
      <c r="B72" s="3">
        <v>5.7359110403570703E-2</v>
      </c>
      <c r="C72" s="12">
        <f t="shared" si="8"/>
        <v>0.21151362495638959</v>
      </c>
      <c r="D72" s="12">
        <f t="shared" si="2"/>
        <v>2.6909033837922485E-3</v>
      </c>
      <c r="E72" s="13">
        <f t="shared" si="7"/>
        <v>-0.15816767792803527</v>
      </c>
      <c r="F72" s="12">
        <f t="shared" si="3"/>
        <v>5.2349075292036862E-2</v>
      </c>
      <c r="G72" s="12">
        <f t="shared" si="4"/>
        <v>5.0100351115338407E-3</v>
      </c>
      <c r="H72" s="12">
        <f t="shared" si="5"/>
        <v>2.5100451818801902E-5</v>
      </c>
      <c r="I72" s="15">
        <f t="shared" si="6"/>
        <v>8.7345062994944165</v>
      </c>
    </row>
    <row r="73" spans="1:9" x14ac:dyDescent="0.25">
      <c r="A73" s="4">
        <v>66</v>
      </c>
      <c r="B73" s="3">
        <v>0.96129498925830803</v>
      </c>
      <c r="C73" s="12">
        <f t="shared" si="8"/>
        <v>0.25998688678497572</v>
      </c>
      <c r="D73" s="12">
        <f t="shared" si="2"/>
        <v>3.3776387604641566E-3</v>
      </c>
      <c r="E73" s="13">
        <f t="shared" si="7"/>
        <v>0.35204321034722713</v>
      </c>
      <c r="F73" s="12">
        <f t="shared" si="3"/>
        <v>0.52527252787931844</v>
      </c>
      <c r="G73" s="12">
        <f t="shared" si="4"/>
        <v>0.43602246137898959</v>
      </c>
      <c r="H73" s="12">
        <f t="shared" si="5"/>
        <v>0.19011558682699248</v>
      </c>
      <c r="I73" s="15">
        <f t="shared" si="6"/>
        <v>45.357821090423542</v>
      </c>
    </row>
    <row r="74" spans="1:9" x14ac:dyDescent="0.25">
      <c r="A74" s="3">
        <v>67</v>
      </c>
      <c r="B74" s="3">
        <v>-0.70391267705821903</v>
      </c>
      <c r="C74" s="12">
        <f t="shared" si="8"/>
        <v>0.20998443400388547</v>
      </c>
      <c r="D74" s="12">
        <f t="shared" si="2"/>
        <v>2.5769373873408405E-3</v>
      </c>
      <c r="E74" s="13">
        <f t="shared" si="7"/>
        <v>-0.50667056032807001</v>
      </c>
      <c r="F74" s="12">
        <f t="shared" si="3"/>
        <v>-0.19553085285293897</v>
      </c>
      <c r="G74" s="12">
        <f t="shared" si="4"/>
        <v>0.50838182420528</v>
      </c>
      <c r="H74" s="12">
        <f t="shared" si="5"/>
        <v>0.25845207918228824</v>
      </c>
      <c r="I74" s="15">
        <f t="shared" si="6"/>
        <v>72.222285629220579</v>
      </c>
    </row>
    <row r="75" spans="1:9" x14ac:dyDescent="0.25">
      <c r="A75" s="4">
        <v>68</v>
      </c>
      <c r="B75" s="3">
        <v>0.12603602066449501</v>
      </c>
      <c r="C75" s="12">
        <f t="shared" si="8"/>
        <v>0.22375573497224777</v>
      </c>
      <c r="D75" s="12">
        <f t="shared" si="2"/>
        <v>2.7448528410561621E-3</v>
      </c>
      <c r="E75" s="13">
        <f t="shared" si="7"/>
        <v>-0.18311938180763562</v>
      </c>
      <c r="F75" s="12">
        <f t="shared" si="3"/>
        <v>1.9423034178576493E-2</v>
      </c>
      <c r="G75" s="12">
        <f t="shared" si="4"/>
        <v>0.10661298648591852</v>
      </c>
      <c r="H75" s="12">
        <f t="shared" si="5"/>
        <v>1.1366328887446646E-2</v>
      </c>
      <c r="I75" s="15">
        <f t="shared" si="6"/>
        <v>84.589299093883525</v>
      </c>
    </row>
    <row r="76" spans="1:9" x14ac:dyDescent="0.25">
      <c r="A76" s="3">
        <v>69</v>
      </c>
      <c r="B76" s="3">
        <v>-0.20262475070468</v>
      </c>
      <c r="C76" s="12">
        <f t="shared" si="8"/>
        <v>0.19092934624891386</v>
      </c>
      <c r="D76" s="12">
        <f t="shared" si="2"/>
        <v>2.2112842175903108E-3</v>
      </c>
      <c r="E76" s="13">
        <f t="shared" si="7"/>
        <v>-0.12218787053344569</v>
      </c>
      <c r="F76" s="12">
        <f t="shared" si="3"/>
        <v>0.13614897847998736</v>
      </c>
      <c r="G76" s="12">
        <f t="shared" si="4"/>
        <v>0.33877372918466736</v>
      </c>
      <c r="H76" s="12">
        <f t="shared" si="5"/>
        <v>0.11476763958568634</v>
      </c>
      <c r="I76" s="15">
        <f t="shared" si="6"/>
        <v>167.1926692106932</v>
      </c>
    </row>
    <row r="77" spans="1:9" x14ac:dyDescent="0.25">
      <c r="A77" s="4">
        <v>70</v>
      </c>
      <c r="B77" s="3">
        <v>0.21730634808441501</v>
      </c>
      <c r="C77" s="12">
        <f t="shared" si="8"/>
        <v>0.20815134193152063</v>
      </c>
      <c r="D77" s="12">
        <f t="shared" si="2"/>
        <v>2.4364448895655578E-3</v>
      </c>
      <c r="E77" s="13">
        <f t="shared" si="7"/>
        <v>-0.10535885243058001</v>
      </c>
      <c r="F77" s="12">
        <f t="shared" si="3"/>
        <v>7.4347191274734437E-2</v>
      </c>
      <c r="G77" s="12">
        <f t="shared" si="4"/>
        <v>0.14295915680968058</v>
      </c>
      <c r="H77" s="12">
        <f t="shared" si="5"/>
        <v>2.0437320515734839E-2</v>
      </c>
      <c r="I77" s="15">
        <f t="shared" si="6"/>
        <v>65.786921583232598</v>
      </c>
    </row>
    <row r="78" spans="1:9" x14ac:dyDescent="0.25">
      <c r="A78" s="3">
        <v>71</v>
      </c>
      <c r="B78" s="3">
        <v>1.1221114605965301</v>
      </c>
      <c r="C78" s="12">
        <f t="shared" si="8"/>
        <v>0.20028076538897796</v>
      </c>
      <c r="D78" s="12">
        <f t="shared" si="2"/>
        <v>2.2818395680839344E-3</v>
      </c>
      <c r="E78" s="13">
        <f t="shared" si="7"/>
        <v>1.0004609984709283</v>
      </c>
      <c r="F78" s="12">
        <f t="shared" si="3"/>
        <v>1.2202735694737512</v>
      </c>
      <c r="G78" s="12">
        <f t="shared" si="4"/>
        <v>9.8162108877221099E-2</v>
      </c>
      <c r="H78" s="12">
        <f t="shared" si="5"/>
        <v>9.6357996192234091E-3</v>
      </c>
      <c r="I78" s="15">
        <f t="shared" si="6"/>
        <v>8.7479820253361229</v>
      </c>
    </row>
    <row r="79" spans="1:9" x14ac:dyDescent="0.25">
      <c r="A79" s="4">
        <v>72</v>
      </c>
      <c r="B79" s="3">
        <v>-0.74531601535543202</v>
      </c>
      <c r="C79" s="12">
        <f t="shared" si="8"/>
        <v>0.17004907287356147</v>
      </c>
      <c r="D79" s="12">
        <f t="shared" si="2"/>
        <v>1.7941365868314281E-3</v>
      </c>
      <c r="E79" s="13">
        <f t="shared" si="7"/>
        <v>-0.66732554501769903</v>
      </c>
      <c r="F79" s="12">
        <f t="shared" si="3"/>
        <v>-0.4356633288459042</v>
      </c>
      <c r="G79" s="12">
        <f t="shared" si="4"/>
        <v>0.30965268650952782</v>
      </c>
      <c r="H79" s="12">
        <f t="shared" si="5"/>
        <v>9.5884786262567911E-2</v>
      </c>
      <c r="I79" s="15">
        <f t="shared" si="6"/>
        <v>41.546495731996082</v>
      </c>
    </row>
    <row r="80" spans="1:9" x14ac:dyDescent="0.25">
      <c r="A80" s="3">
        <v>73</v>
      </c>
      <c r="B80" s="3">
        <v>1.12721153529153E-2</v>
      </c>
      <c r="C80" s="12">
        <f t="shared" si="8"/>
        <v>0.18107494513021474</v>
      </c>
      <c r="D80" s="12">
        <f t="shared" si="2"/>
        <v>1.9326126218787557E-3</v>
      </c>
      <c r="E80" s="13">
        <f t="shared" si="7"/>
        <v>-0.24022998277652849</v>
      </c>
      <c r="F80" s="12">
        <f t="shared" si="3"/>
        <v>-7.6649176740626157E-2</v>
      </c>
      <c r="G80" s="12">
        <f t="shared" si="4"/>
        <v>8.7921292093541464E-2</v>
      </c>
      <c r="H80" s="12">
        <f t="shared" si="5"/>
        <v>7.7301536033978369E-3</v>
      </c>
      <c r="I80" s="15">
        <f t="shared" si="6"/>
        <v>779.98928631263902</v>
      </c>
    </row>
    <row r="81" spans="1:9" x14ac:dyDescent="0.25">
      <c r="A81" s="4">
        <v>74</v>
      </c>
      <c r="B81" s="3">
        <v>-0.10778955783333</v>
      </c>
      <c r="C81" s="12">
        <f t="shared" si="8"/>
        <v>9.4712437747831141E-2</v>
      </c>
      <c r="D81" s="12">
        <f t="shared" si="2"/>
        <v>6.0818582181482042E-4</v>
      </c>
      <c r="E81" s="13">
        <f t="shared" si="7"/>
        <v>0.47108465681326017</v>
      </c>
      <c r="F81" s="12">
        <f t="shared" si="3"/>
        <v>0.73311634696916839</v>
      </c>
      <c r="G81" s="12">
        <f t="shared" si="4"/>
        <v>0.84090590480249838</v>
      </c>
      <c r="H81" s="12">
        <f t="shared" si="5"/>
        <v>0.70712274073170844</v>
      </c>
      <c r="I81" s="15">
        <f t="shared" si="6"/>
        <v>780.13670498839258</v>
      </c>
    </row>
    <row r="82" spans="1:9" x14ac:dyDescent="0.25">
      <c r="A82" s="3">
        <v>75</v>
      </c>
      <c r="B82" s="3">
        <v>0.21331086554522399</v>
      </c>
      <c r="C82" s="12">
        <f t="shared" si="8"/>
        <v>5.9063938451728588E-2</v>
      </c>
      <c r="D82" s="12">
        <f t="shared" si="2"/>
        <v>6.4335545046059935E-5</v>
      </c>
      <c r="E82" s="13">
        <f t="shared" si="7"/>
        <v>0.43084227182282647</v>
      </c>
      <c r="F82" s="12">
        <f t="shared" si="3"/>
        <v>0.55861262857300853</v>
      </c>
      <c r="G82" s="12">
        <f t="shared" si="4"/>
        <v>0.34530176302778454</v>
      </c>
      <c r="H82" s="12">
        <f t="shared" si="5"/>
        <v>0.11923330755009627</v>
      </c>
      <c r="I82" s="15">
        <f t="shared" si="6"/>
        <v>161.87724996811153</v>
      </c>
    </row>
    <row r="83" spans="1:9" x14ac:dyDescent="0.25">
      <c r="A83" s="4">
        <v>76</v>
      </c>
      <c r="B83" s="3">
        <v>-0.28986096017704899</v>
      </c>
      <c r="C83" s="12">
        <f t="shared" si="8"/>
        <v>8.436099345911996E-2</v>
      </c>
      <c r="D83" s="12">
        <f t="shared" si="2"/>
        <v>4.4282633698123958E-4</v>
      </c>
      <c r="E83" s="13">
        <f t="shared" si="7"/>
        <v>-0.56671756418212282</v>
      </c>
      <c r="F83" s="12">
        <f t="shared" si="3"/>
        <v>-0.5301725741041472</v>
      </c>
      <c r="G83" s="12">
        <f t="shared" si="4"/>
        <v>0.24031161392709821</v>
      </c>
      <c r="H83" s="12">
        <f t="shared" si="5"/>
        <v>5.7749671788246699E-2</v>
      </c>
      <c r="I83" s="15">
        <f t="shared" si="6"/>
        <v>82.9058227711363</v>
      </c>
    </row>
    <row r="84" spans="1:9" x14ac:dyDescent="0.25">
      <c r="A84" s="3">
        <v>77</v>
      </c>
      <c r="B84" s="3">
        <v>-1.2960256442431499E-2</v>
      </c>
      <c r="C84" s="12">
        <f t="shared" ref="C84:C147" si="9">$D$3 * (B84 - E72) + (1 - $D$3) * (C83 + D83)</f>
        <v>9.1146197973498974E-2</v>
      </c>
      <c r="D84" s="12">
        <f t="shared" ref="D84:D147" si="10">$E$3 * (C84 - C83) + (1 - $E$3) * D83</f>
        <v>5.3796200964220621E-4</v>
      </c>
      <c r="E84" s="13">
        <f t="shared" ref="E84:E147" si="11">$F$3*(B84-C84)+(1-$F$3)*E72</f>
        <v>-0.15249124945926426</v>
      </c>
      <c r="F84" s="12">
        <f t="shared" si="3"/>
        <v>-7.3363858131934065E-2</v>
      </c>
      <c r="G84" s="12">
        <f t="shared" si="4"/>
        <v>6.0403601689502567E-2</v>
      </c>
      <c r="H84" s="12">
        <f t="shared" si="5"/>
        <v>3.6485950970640774E-3</v>
      </c>
      <c r="I84" s="15">
        <f t="shared" si="6"/>
        <v>466.06795133885583</v>
      </c>
    </row>
    <row r="85" spans="1:9" x14ac:dyDescent="0.25">
      <c r="A85" s="4">
        <v>78</v>
      </c>
      <c r="B85" s="3">
        <v>0.915950962744008</v>
      </c>
      <c r="C85" s="12">
        <f t="shared" si="9"/>
        <v>0.14126763718657334</v>
      </c>
      <c r="D85" s="12">
        <f t="shared" si="10"/>
        <v>1.2817141676936886E-3</v>
      </c>
      <c r="E85" s="13">
        <f t="shared" si="11"/>
        <v>0.39642042244429893</v>
      </c>
      <c r="F85" s="12">
        <f t="shared" ref="F85:F148" si="12">C84+D84+E73</f>
        <v>0.4437273703303683</v>
      </c>
      <c r="G85" s="12">
        <f t="shared" ref="G85:G148" si="13">ABS(B85-F85)</f>
        <v>0.4722235924136397</v>
      </c>
      <c r="H85" s="12">
        <f t="shared" ref="H85:H148" si="14">(B85-F85)^2</f>
        <v>0.22299512123204332</v>
      </c>
      <c r="I85" s="15">
        <f t="shared" ref="I85:I148" si="15">ABS((B85 - F85) / B85) * 100</f>
        <v>51.555553912946515</v>
      </c>
    </row>
    <row r="86" spans="1:9" x14ac:dyDescent="0.25">
      <c r="A86" s="3">
        <v>79</v>
      </c>
      <c r="B86" s="3">
        <v>-0.370484670014252</v>
      </c>
      <c r="C86" s="12">
        <f t="shared" si="9"/>
        <v>0.14188118794501986</v>
      </c>
      <c r="D86" s="12">
        <f t="shared" si="10"/>
        <v>1.2716917165549811E-3</v>
      </c>
      <c r="E86" s="13">
        <f t="shared" si="11"/>
        <v>-0.50726856657934627</v>
      </c>
      <c r="F86" s="12">
        <f t="shared" si="12"/>
        <v>-0.36412120897380296</v>
      </c>
      <c r="G86" s="12">
        <f t="shared" si="13"/>
        <v>6.3634610404490477E-3</v>
      </c>
      <c r="H86" s="12">
        <f t="shared" si="14"/>
        <v>4.0493636413312877E-5</v>
      </c>
      <c r="I86" s="15">
        <f t="shared" si="15"/>
        <v>1.7176044126749574</v>
      </c>
    </row>
    <row r="87" spans="1:9" x14ac:dyDescent="0.25">
      <c r="A87" s="4">
        <v>80</v>
      </c>
      <c r="B87" s="3">
        <v>-0.26547398459167099</v>
      </c>
      <c r="C87" s="12">
        <f t="shared" si="9"/>
        <v>0.11947459400478576</v>
      </c>
      <c r="D87" s="12">
        <f t="shared" si="10"/>
        <v>9.1651743170314485E-4</v>
      </c>
      <c r="E87" s="13">
        <f t="shared" si="11"/>
        <v>-0.20431144747046184</v>
      </c>
      <c r="F87" s="12">
        <f t="shared" si="12"/>
        <v>-3.9966502146060789E-2</v>
      </c>
      <c r="G87" s="12">
        <f t="shared" si="13"/>
        <v>0.2255074824456102</v>
      </c>
      <c r="H87" s="12">
        <f t="shared" si="14"/>
        <v>5.0853624638957193E-2</v>
      </c>
      <c r="I87" s="15">
        <f t="shared" si="15"/>
        <v>84.945228359180362</v>
      </c>
    </row>
    <row r="88" spans="1:9" x14ac:dyDescent="0.25">
      <c r="A88" s="3">
        <v>81</v>
      </c>
      <c r="B88" s="3">
        <v>5.8613726351625803E-2</v>
      </c>
      <c r="C88" s="12">
        <f t="shared" si="9"/>
        <v>0.12673421240859009</v>
      </c>
      <c r="D88" s="12">
        <f t="shared" si="10"/>
        <v>1.0116639462846627E-3</v>
      </c>
      <c r="E88" s="13">
        <f t="shared" si="11"/>
        <v>-0.11651079516341516</v>
      </c>
      <c r="F88" s="12">
        <f t="shared" si="12"/>
        <v>-1.7967590969567848E-3</v>
      </c>
      <c r="G88" s="12">
        <f t="shared" si="13"/>
        <v>6.0410485448582588E-2</v>
      </c>
      <c r="H88" s="12">
        <f t="shared" si="14"/>
        <v>3.6494267521334084E-3</v>
      </c>
      <c r="I88" s="15">
        <f t="shared" si="15"/>
        <v>103.06542376469628</v>
      </c>
    </row>
    <row r="89" spans="1:9" x14ac:dyDescent="0.25">
      <c r="A89" s="4">
        <v>82</v>
      </c>
      <c r="B89" s="3">
        <v>0.11261399556212</v>
      </c>
      <c r="C89" s="12">
        <f t="shared" si="9"/>
        <v>0.13721970837684638</v>
      </c>
      <c r="D89" s="12">
        <f t="shared" si="10"/>
        <v>1.153771426614237E-3</v>
      </c>
      <c r="E89" s="13">
        <f t="shared" si="11"/>
        <v>-9.6879772770915376E-2</v>
      </c>
      <c r="F89" s="12">
        <f t="shared" si="12"/>
        <v>2.2387023924294744E-2</v>
      </c>
      <c r="G89" s="12">
        <f t="shared" si="13"/>
        <v>9.0226971637825254E-2</v>
      </c>
      <c r="H89" s="12">
        <f t="shared" si="14"/>
        <v>8.1409064109329229E-3</v>
      </c>
      <c r="I89" s="15">
        <f t="shared" si="15"/>
        <v>80.120566886426076</v>
      </c>
    </row>
    <row r="90" spans="1:9" x14ac:dyDescent="0.25">
      <c r="A90" s="3">
        <v>83</v>
      </c>
      <c r="B90" s="3">
        <v>1.4657543918687499</v>
      </c>
      <c r="C90" s="12">
        <f t="shared" si="9"/>
        <v>0.17270007073086854</v>
      </c>
      <c r="D90" s="12">
        <f t="shared" si="10"/>
        <v>1.6686702905253556E-3</v>
      </c>
      <c r="E90" s="13">
        <f t="shared" si="11"/>
        <v>1.0311832973509585</v>
      </c>
      <c r="F90" s="12">
        <f t="shared" si="12"/>
        <v>1.1388344782743889</v>
      </c>
      <c r="G90" s="12">
        <f t="shared" si="13"/>
        <v>0.32691991359436101</v>
      </c>
      <c r="H90" s="12">
        <f t="shared" si="14"/>
        <v>0.10687662990454447</v>
      </c>
      <c r="I90" s="15">
        <f t="shared" si="15"/>
        <v>22.303867237781734</v>
      </c>
    </row>
    <row r="91" spans="1:9" x14ac:dyDescent="0.25">
      <c r="A91" s="4">
        <v>84</v>
      </c>
      <c r="B91" s="3">
        <v>-0.76073885005677899</v>
      </c>
      <c r="C91" s="12">
        <f t="shared" si="9"/>
        <v>0.14625162618504417</v>
      </c>
      <c r="D91" s="12">
        <f t="shared" si="10"/>
        <v>1.2469135679801097E-3</v>
      </c>
      <c r="E91" s="13">
        <f t="shared" si="11"/>
        <v>-0.692490362796232</v>
      </c>
      <c r="F91" s="12">
        <f t="shared" si="12"/>
        <v>-0.49295680399630515</v>
      </c>
      <c r="G91" s="12">
        <f t="shared" si="13"/>
        <v>0.26778204606047384</v>
      </c>
      <c r="H91" s="12">
        <f t="shared" si="14"/>
        <v>7.1707224192333732E-2</v>
      </c>
      <c r="I91" s="15">
        <f t="shared" si="15"/>
        <v>35.200259069257143</v>
      </c>
    </row>
    <row r="92" spans="1:9" x14ac:dyDescent="0.25">
      <c r="A92" s="3">
        <v>85</v>
      </c>
      <c r="B92" s="3">
        <v>-7.6968795407686794E-2</v>
      </c>
      <c r="C92" s="12">
        <f t="shared" si="9"/>
        <v>0.14915361775268512</v>
      </c>
      <c r="D92" s="12">
        <f t="shared" si="10"/>
        <v>1.2717397379750223E-3</v>
      </c>
      <c r="E92" s="13">
        <f t="shared" si="11"/>
        <v>-0.23874868796683205</v>
      </c>
      <c r="F92" s="12">
        <f t="shared" si="12"/>
        <v>-9.2731443023504195E-2</v>
      </c>
      <c r="G92" s="12">
        <f t="shared" si="13"/>
        <v>1.5762647615817402E-2</v>
      </c>
      <c r="H92" s="12">
        <f t="shared" si="14"/>
        <v>2.48461059860434E-4</v>
      </c>
      <c r="I92" s="15">
        <f t="shared" si="15"/>
        <v>20.479270244942928</v>
      </c>
    </row>
    <row r="93" spans="1:9" x14ac:dyDescent="0.25">
      <c r="A93" s="4">
        <v>86</v>
      </c>
      <c r="B93" s="3">
        <v>0.35943238827378599</v>
      </c>
      <c r="C93" s="12">
        <f t="shared" si="9"/>
        <v>0.12290720675749606</v>
      </c>
      <c r="D93" s="12">
        <f t="shared" si="10"/>
        <v>8.5896747697756094E-4</v>
      </c>
      <c r="E93" s="13">
        <f t="shared" si="11"/>
        <v>0.44645591190707828</v>
      </c>
      <c r="F93" s="12">
        <f t="shared" si="12"/>
        <v>0.62151001430392028</v>
      </c>
      <c r="G93" s="12">
        <f t="shared" si="13"/>
        <v>0.26207762603013429</v>
      </c>
      <c r="H93" s="12">
        <f t="shared" si="14"/>
        <v>6.8684682065590918E-2</v>
      </c>
      <c r="I93" s="15">
        <f t="shared" si="15"/>
        <v>72.914304492366767</v>
      </c>
    </row>
    <row r="94" spans="1:9" x14ac:dyDescent="0.25">
      <c r="A94" s="3">
        <v>87</v>
      </c>
      <c r="B94" s="3">
        <v>-0.25999524411784602</v>
      </c>
      <c r="C94" s="12">
        <f t="shared" si="9"/>
        <v>3.8232786766083271E-2</v>
      </c>
      <c r="D94" s="12">
        <f t="shared" si="10"/>
        <v>-4.2403333504829432E-4</v>
      </c>
      <c r="E94" s="13">
        <f t="shared" si="11"/>
        <v>0.35428989003861716</v>
      </c>
      <c r="F94" s="12">
        <f t="shared" si="12"/>
        <v>0.55460844605730009</v>
      </c>
      <c r="G94" s="12">
        <f t="shared" si="13"/>
        <v>0.81460369017514611</v>
      </c>
      <c r="H94" s="12">
        <f t="shared" si="14"/>
        <v>0.66357917204696548</v>
      </c>
      <c r="I94" s="15">
        <f t="shared" si="15"/>
        <v>313.31484271532173</v>
      </c>
    </row>
    <row r="95" spans="1:9" x14ac:dyDescent="0.25">
      <c r="A95" s="4">
        <v>88</v>
      </c>
      <c r="B95" s="3">
        <v>0.43803533456274002</v>
      </c>
      <c r="C95" s="12">
        <f t="shared" si="9"/>
        <v>0.13933788868898689</v>
      </c>
      <c r="D95" s="12">
        <f t="shared" si="10"/>
        <v>1.0989036938209842E-3</v>
      </c>
      <c r="E95" s="13">
        <f t="shared" si="11"/>
        <v>-0.47584898812625587</v>
      </c>
      <c r="F95" s="12">
        <f t="shared" si="12"/>
        <v>-0.52890881075108787</v>
      </c>
      <c r="G95" s="12">
        <f t="shared" si="13"/>
        <v>0.96694414531382789</v>
      </c>
      <c r="H95" s="12">
        <f t="shared" si="14"/>
        <v>0.93498098015668907</v>
      </c>
      <c r="I95" s="15">
        <f t="shared" si="15"/>
        <v>220.7456953852959</v>
      </c>
    </row>
    <row r="96" spans="1:9" x14ac:dyDescent="0.25">
      <c r="A96" s="3">
        <v>89</v>
      </c>
      <c r="B96" s="3">
        <v>0.54461813691622696</v>
      </c>
      <c r="C96" s="12">
        <f t="shared" si="9"/>
        <v>0.19888741475203964</v>
      </c>
      <c r="D96" s="12">
        <f t="shared" si="10"/>
        <v>1.9756630293594605E-3</v>
      </c>
      <c r="E96" s="13">
        <f t="shared" si="11"/>
        <v>-0.10017794243880185</v>
      </c>
      <c r="F96" s="12">
        <f t="shared" si="12"/>
        <v>-1.2054457076456387E-2</v>
      </c>
      <c r="G96" s="12">
        <f t="shared" si="13"/>
        <v>0.55667259399268332</v>
      </c>
      <c r="H96" s="12">
        <f t="shared" si="14"/>
        <v>0.30988437690254284</v>
      </c>
      <c r="I96" s="15">
        <f t="shared" si="15"/>
        <v>102.21337782555533</v>
      </c>
    </row>
    <row r="97" spans="1:9" x14ac:dyDescent="0.25">
      <c r="A97" s="4">
        <v>90</v>
      </c>
      <c r="B97" s="3">
        <v>0.81062656934450295</v>
      </c>
      <c r="C97" s="12">
        <f t="shared" si="9"/>
        <v>0.22326410003887359</v>
      </c>
      <c r="D97" s="12">
        <f t="shared" si="10"/>
        <v>2.311678363221578E-3</v>
      </c>
      <c r="E97" s="13">
        <f t="shared" si="11"/>
        <v>0.41646933736473862</v>
      </c>
      <c r="F97" s="12">
        <f t="shared" si="12"/>
        <v>0.59728350022569798</v>
      </c>
      <c r="G97" s="12">
        <f t="shared" si="13"/>
        <v>0.21334306911880496</v>
      </c>
      <c r="H97" s="12">
        <f t="shared" si="14"/>
        <v>4.5515265141031193E-2</v>
      </c>
      <c r="I97" s="15">
        <f t="shared" si="15"/>
        <v>26.31829219357078</v>
      </c>
    </row>
    <row r="98" spans="1:9" x14ac:dyDescent="0.25">
      <c r="A98" s="3">
        <v>91</v>
      </c>
      <c r="B98" s="3">
        <v>0.61188969292652196</v>
      </c>
      <c r="C98" s="12">
        <f t="shared" si="9"/>
        <v>0.31940193891799135</v>
      </c>
      <c r="D98" s="12">
        <f t="shared" si="10"/>
        <v>3.7190707709600203E-3</v>
      </c>
      <c r="E98" s="13">
        <f t="shared" si="11"/>
        <v>-0.42329415291761918</v>
      </c>
      <c r="F98" s="12">
        <f t="shared" si="12"/>
        <v>-0.28169278817725107</v>
      </c>
      <c r="G98" s="12">
        <f t="shared" si="13"/>
        <v>0.89358248110377303</v>
      </c>
      <c r="H98" s="12">
        <f t="shared" si="14"/>
        <v>0.79848965053557486</v>
      </c>
      <c r="I98" s="15">
        <f t="shared" si="15"/>
        <v>146.0365310011976</v>
      </c>
    </row>
    <row r="99" spans="1:9" x14ac:dyDescent="0.25">
      <c r="A99" s="4">
        <v>92</v>
      </c>
      <c r="B99" s="3">
        <v>3.1625804076416202</v>
      </c>
      <c r="C99" s="12">
        <f t="shared" si="9"/>
        <v>0.64271694845838001</v>
      </c>
      <c r="D99" s="12">
        <f t="shared" si="10"/>
        <v>8.5130098525014498E-3</v>
      </c>
      <c r="E99" s="13">
        <f t="shared" si="11"/>
        <v>8.1726917728176862E-2</v>
      </c>
      <c r="F99" s="12">
        <f t="shared" si="12"/>
        <v>0.11880956221848951</v>
      </c>
      <c r="G99" s="12">
        <f t="shared" si="13"/>
        <v>3.0437708454231305</v>
      </c>
      <c r="H99" s="12">
        <f t="shared" si="14"/>
        <v>9.2645409594478387</v>
      </c>
      <c r="I99" s="15">
        <f t="shared" si="15"/>
        <v>96.243271414335752</v>
      </c>
    </row>
    <row r="100" spans="1:9" x14ac:dyDescent="0.25">
      <c r="A100" s="3">
        <v>93</v>
      </c>
      <c r="B100" s="3">
        <v>0.61107030126406903</v>
      </c>
      <c r="C100" s="12">
        <f t="shared" si="9"/>
        <v>0.65924682781312471</v>
      </c>
      <c r="D100" s="12">
        <f t="shared" si="10"/>
        <v>8.6332628950350973E-3</v>
      </c>
      <c r="E100" s="13">
        <f t="shared" si="11"/>
        <v>-0.10933569695890742</v>
      </c>
      <c r="F100" s="12">
        <f t="shared" si="12"/>
        <v>0.53471916314746637</v>
      </c>
      <c r="G100" s="12">
        <f t="shared" si="13"/>
        <v>7.6351138116602657E-2</v>
      </c>
      <c r="H100" s="12">
        <f t="shared" si="14"/>
        <v>5.8294962917005352E-3</v>
      </c>
      <c r="I100" s="15">
        <f t="shared" si="15"/>
        <v>12.494656990965126</v>
      </c>
    </row>
    <row r="101" spans="1:9" x14ac:dyDescent="0.25">
      <c r="A101" s="4">
        <v>94</v>
      </c>
      <c r="B101" s="3">
        <v>3.1311929738302699E-2</v>
      </c>
      <c r="C101" s="12">
        <f t="shared" si="9"/>
        <v>0.6112128099472709</v>
      </c>
      <c r="D101" s="12">
        <f t="shared" si="10"/>
        <v>7.7832536836217629E-3</v>
      </c>
      <c r="E101" s="13">
        <f t="shared" si="11"/>
        <v>-0.14759698905191093</v>
      </c>
      <c r="F101" s="12">
        <f t="shared" si="12"/>
        <v>0.57100031793724437</v>
      </c>
      <c r="G101" s="12">
        <f t="shared" si="13"/>
        <v>0.53968838819894172</v>
      </c>
      <c r="H101" s="12">
        <f t="shared" si="14"/>
        <v>0.29126355635677159</v>
      </c>
      <c r="I101" s="15">
        <f t="shared" si="15"/>
        <v>1723.5871206582369</v>
      </c>
    </row>
    <row r="102" spans="1:9" x14ac:dyDescent="0.25">
      <c r="A102" s="3">
        <v>95</v>
      </c>
      <c r="B102" s="3">
        <v>0.93354695357148798</v>
      </c>
      <c r="C102" s="12">
        <f t="shared" si="9"/>
        <v>0.54374966085280452</v>
      </c>
      <c r="D102" s="12">
        <f t="shared" si="10"/>
        <v>6.6545576419504409E-3</v>
      </c>
      <c r="E102" s="13">
        <f t="shared" si="11"/>
        <v>0.96383776686456957</v>
      </c>
      <c r="F102" s="12">
        <f t="shared" si="12"/>
        <v>1.6501793609818511</v>
      </c>
      <c r="G102" s="12">
        <f t="shared" si="13"/>
        <v>0.71663240741036316</v>
      </c>
      <c r="H102" s="12">
        <f t="shared" si="14"/>
        <v>0.51356200735077273</v>
      </c>
      <c r="I102" s="15">
        <f t="shared" si="15"/>
        <v>76.764473888402634</v>
      </c>
    </row>
    <row r="103" spans="1:9" x14ac:dyDescent="0.25">
      <c r="A103" s="4">
        <v>96</v>
      </c>
      <c r="B103" s="3">
        <v>-0.87429756191199404</v>
      </c>
      <c r="C103" s="12">
        <f t="shared" si="9"/>
        <v>0.47352201964565072</v>
      </c>
      <c r="D103" s="12">
        <f t="shared" si="10"/>
        <v>5.5013246592138763E-3</v>
      </c>
      <c r="E103" s="13">
        <f t="shared" si="11"/>
        <v>-0.7612999307661803</v>
      </c>
      <c r="F103" s="12">
        <f t="shared" si="12"/>
        <v>-0.14208614430147704</v>
      </c>
      <c r="G103" s="12">
        <f t="shared" si="13"/>
        <v>0.732211417610517</v>
      </c>
      <c r="H103" s="12">
        <f t="shared" si="14"/>
        <v>0.53613356007920288</v>
      </c>
      <c r="I103" s="15">
        <f t="shared" si="15"/>
        <v>83.748537055193196</v>
      </c>
    </row>
    <row r="104" spans="1:9" x14ac:dyDescent="0.25">
      <c r="A104" s="3">
        <v>97</v>
      </c>
      <c r="B104" s="3">
        <v>0.20127086371243</v>
      </c>
      <c r="C104" s="12">
        <f t="shared" si="9"/>
        <v>0.47492794607917632</v>
      </c>
      <c r="D104" s="12">
        <f t="shared" si="10"/>
        <v>5.4398936858285523E-3</v>
      </c>
      <c r="E104" s="13">
        <f t="shared" si="11"/>
        <v>-0.24241406937882307</v>
      </c>
      <c r="F104" s="12">
        <f t="shared" si="12"/>
        <v>0.24027465633803255</v>
      </c>
      <c r="G104" s="12">
        <f t="shared" si="13"/>
        <v>3.9003792625602551E-2</v>
      </c>
      <c r="H104" s="12">
        <f t="shared" si="14"/>
        <v>1.5212958391810079E-3</v>
      </c>
      <c r="I104" s="15">
        <f t="shared" si="15"/>
        <v>19.378757514217281</v>
      </c>
    </row>
    <row r="105" spans="1:9" x14ac:dyDescent="0.25">
      <c r="A105" s="4">
        <v>98</v>
      </c>
      <c r="B105" s="3">
        <v>-0.18627609016670599</v>
      </c>
      <c r="C105" s="12">
        <f t="shared" si="9"/>
        <v>0.363492356371932</v>
      </c>
      <c r="D105" s="12">
        <f t="shared" si="10"/>
        <v>3.6867614349324592E-3</v>
      </c>
      <c r="E105" s="13">
        <f t="shared" si="11"/>
        <v>0.3418523542702781</v>
      </c>
      <c r="F105" s="12">
        <f t="shared" si="12"/>
        <v>0.9268237516720832</v>
      </c>
      <c r="G105" s="12">
        <f t="shared" si="13"/>
        <v>1.1130998418387892</v>
      </c>
      <c r="H105" s="12">
        <f t="shared" si="14"/>
        <v>1.2389912579015374</v>
      </c>
      <c r="I105" s="15">
        <f t="shared" si="15"/>
        <v>597.55379278286944</v>
      </c>
    </row>
    <row r="106" spans="1:9" x14ac:dyDescent="0.25">
      <c r="A106" s="3">
        <v>99</v>
      </c>
      <c r="B106" s="3">
        <v>5.3604303629009101E-2</v>
      </c>
      <c r="C106" s="12">
        <f t="shared" si="9"/>
        <v>0.29705332386413486</v>
      </c>
      <c r="D106" s="12">
        <f t="shared" si="10"/>
        <v>2.6348745257915151E-3</v>
      </c>
      <c r="E106" s="13">
        <f t="shared" si="11"/>
        <v>0.29152730445987418</v>
      </c>
      <c r="F106" s="12">
        <f t="shared" si="12"/>
        <v>0.72146900784548162</v>
      </c>
      <c r="G106" s="12">
        <f t="shared" si="13"/>
        <v>0.66786470421647248</v>
      </c>
      <c r="H106" s="12">
        <f t="shared" si="14"/>
        <v>0.44604326313815629</v>
      </c>
      <c r="I106" s="15">
        <f t="shared" si="15"/>
        <v>1245.9162026219167</v>
      </c>
    </row>
    <row r="107" spans="1:9" x14ac:dyDescent="0.25">
      <c r="A107" s="4">
        <v>100</v>
      </c>
      <c r="B107" s="3">
        <v>-0.48437672715512298</v>
      </c>
      <c r="C107" s="12">
        <f t="shared" si="9"/>
        <v>0.26732552496095308</v>
      </c>
      <c r="D107" s="12">
        <f t="shared" si="10"/>
        <v>2.1494344243569159E-3</v>
      </c>
      <c r="E107" s="13">
        <f t="shared" si="11"/>
        <v>-0.50481358084518702</v>
      </c>
      <c r="F107" s="12">
        <f t="shared" si="12"/>
        <v>-0.17616078973632948</v>
      </c>
      <c r="G107" s="12">
        <f t="shared" si="13"/>
        <v>0.3082159374187935</v>
      </c>
      <c r="H107" s="12">
        <f t="shared" si="14"/>
        <v>9.4997064078945634E-2</v>
      </c>
      <c r="I107" s="15">
        <f t="shared" si="15"/>
        <v>63.631450509406186</v>
      </c>
    </row>
    <row r="108" spans="1:9" x14ac:dyDescent="0.25">
      <c r="A108" s="3">
        <v>101</v>
      </c>
      <c r="B108" s="3">
        <v>-2.9241332392100101E-2</v>
      </c>
      <c r="C108" s="12">
        <f t="shared" si="9"/>
        <v>0.24862843270475612</v>
      </c>
      <c r="D108" s="12">
        <f t="shared" si="10"/>
        <v>1.8367365241486078E-3</v>
      </c>
      <c r="E108" s="13">
        <f t="shared" si="11"/>
        <v>-0.11883558381789756</v>
      </c>
      <c r="F108" s="12">
        <f t="shared" si="12"/>
        <v>0.16929701694650812</v>
      </c>
      <c r="G108" s="12">
        <f t="shared" si="13"/>
        <v>0.19853834933860823</v>
      </c>
      <c r="H108" s="12">
        <f t="shared" si="14"/>
        <v>3.9417476158099235E-2</v>
      </c>
      <c r="I108" s="15">
        <f t="shared" si="15"/>
        <v>678.96478408160965</v>
      </c>
    </row>
    <row r="109" spans="1:9" x14ac:dyDescent="0.25">
      <c r="A109" s="4">
        <v>102</v>
      </c>
      <c r="B109" s="3">
        <v>0.61361935911559495</v>
      </c>
      <c r="C109" s="12">
        <f t="shared" si="9"/>
        <v>0.24486707874370964</v>
      </c>
      <c r="D109" s="12">
        <f t="shared" si="10"/>
        <v>1.7527651668706814E-3</v>
      </c>
      <c r="E109" s="13">
        <f t="shared" si="11"/>
        <v>0.41145904638048902</v>
      </c>
      <c r="F109" s="12">
        <f t="shared" si="12"/>
        <v>0.66693450659364339</v>
      </c>
      <c r="G109" s="12">
        <f t="shared" si="13"/>
        <v>5.3315147478048441E-2</v>
      </c>
      <c r="H109" s="12">
        <f t="shared" si="14"/>
        <v>2.8425049506060553E-3</v>
      </c>
      <c r="I109" s="15">
        <f t="shared" si="15"/>
        <v>8.6886351752153264</v>
      </c>
    </row>
    <row r="110" spans="1:9" x14ac:dyDescent="0.25">
      <c r="A110" s="3">
        <v>103</v>
      </c>
      <c r="B110" s="3">
        <v>-0.313806925744888</v>
      </c>
      <c r="C110" s="12">
        <f t="shared" si="9"/>
        <v>0.23222091915310614</v>
      </c>
      <c r="D110" s="12">
        <f t="shared" si="10"/>
        <v>1.5367812955085687E-3</v>
      </c>
      <c r="E110" s="13">
        <f t="shared" si="11"/>
        <v>-0.43618119057555854</v>
      </c>
      <c r="F110" s="12">
        <f t="shared" si="12"/>
        <v>-0.17667430900703887</v>
      </c>
      <c r="G110" s="12">
        <f t="shared" si="13"/>
        <v>0.13713261673784913</v>
      </c>
      <c r="H110" s="12">
        <f t="shared" si="14"/>
        <v>1.880535457336982E-2</v>
      </c>
      <c r="I110" s="15">
        <f t="shared" si="15"/>
        <v>43.699678205742423</v>
      </c>
    </row>
    <row r="111" spans="1:9" x14ac:dyDescent="0.25">
      <c r="A111" s="4">
        <v>104</v>
      </c>
      <c r="B111" s="3">
        <v>-0.26359551596856201</v>
      </c>
      <c r="C111" s="12">
        <f t="shared" si="9"/>
        <v>0.17295428636335258</v>
      </c>
      <c r="D111" s="12">
        <f t="shared" si="10"/>
        <v>6.2473008422963682E-4</v>
      </c>
      <c r="E111" s="13">
        <f t="shared" si="11"/>
        <v>2.7307862121867262E-2</v>
      </c>
      <c r="F111" s="12">
        <f t="shared" si="12"/>
        <v>0.31548461817679158</v>
      </c>
      <c r="G111" s="12">
        <f t="shared" si="13"/>
        <v>0.57908013414535353</v>
      </c>
      <c r="H111" s="12">
        <f t="shared" si="14"/>
        <v>0.33533380176180067</v>
      </c>
      <c r="I111" s="15">
        <f t="shared" si="15"/>
        <v>219.68512325316573</v>
      </c>
    </row>
    <row r="112" spans="1:9" x14ac:dyDescent="0.25">
      <c r="A112" s="3">
        <v>105</v>
      </c>
      <c r="B112" s="3">
        <v>-0.122528802695672</v>
      </c>
      <c r="C112" s="12">
        <f t="shared" si="9"/>
        <v>0.15396794361822583</v>
      </c>
      <c r="D112" s="12">
        <f t="shared" si="10"/>
        <v>3.3056399178929102E-4</v>
      </c>
      <c r="E112" s="13">
        <f t="shared" si="11"/>
        <v>-0.12688760714118141</v>
      </c>
      <c r="F112" s="12">
        <f t="shared" si="12"/>
        <v>6.4243319488674802E-2</v>
      </c>
      <c r="G112" s="12">
        <f t="shared" si="13"/>
        <v>0.1867721221843468</v>
      </c>
      <c r="H112" s="12">
        <f t="shared" si="14"/>
        <v>3.4883825625244572E-2</v>
      </c>
      <c r="I112" s="15">
        <f t="shared" si="15"/>
        <v>152.43119827771241</v>
      </c>
    </row>
    <row r="113" spans="1:9" x14ac:dyDescent="0.25">
      <c r="A113" s="4">
        <v>106</v>
      </c>
      <c r="B113" s="3">
        <v>-5.3425373936031702E-2</v>
      </c>
      <c r="C113" s="12">
        <f t="shared" si="9"/>
        <v>0.14798518389813084</v>
      </c>
      <c r="D113" s="12">
        <f t="shared" si="10"/>
        <v>2.3586413611102684E-4</v>
      </c>
      <c r="E113" s="13">
        <f t="shared" si="11"/>
        <v>-0.15324741377404735</v>
      </c>
      <c r="F113" s="12">
        <f t="shared" si="12"/>
        <v>6.7015185581041914E-3</v>
      </c>
      <c r="G113" s="12">
        <f t="shared" si="13"/>
        <v>6.0126892494135893E-2</v>
      </c>
      <c r="H113" s="12">
        <f t="shared" si="14"/>
        <v>3.615243201001375E-3</v>
      </c>
      <c r="I113" s="15">
        <f t="shared" si="15"/>
        <v>112.54369986465267</v>
      </c>
    </row>
    <row r="114" spans="1:9" x14ac:dyDescent="0.25">
      <c r="A114" s="3">
        <v>107</v>
      </c>
      <c r="B114" s="3">
        <v>1.28123184432881</v>
      </c>
      <c r="C114" s="12">
        <f t="shared" si="9"/>
        <v>0.16598421612439168</v>
      </c>
      <c r="D114" s="12">
        <f t="shared" si="10"/>
        <v>5.02311657463274E-4</v>
      </c>
      <c r="E114" s="13">
        <f t="shared" si="11"/>
        <v>0.9797358023052537</v>
      </c>
      <c r="F114" s="12">
        <f t="shared" si="12"/>
        <v>1.1120588148988113</v>
      </c>
      <c r="G114" s="12">
        <f t="shared" si="13"/>
        <v>0.16917302942999868</v>
      </c>
      <c r="H114" s="12">
        <f t="shared" si="14"/>
        <v>2.8619513886523198E-2</v>
      </c>
      <c r="I114" s="15">
        <f t="shared" si="15"/>
        <v>13.203935741904868</v>
      </c>
    </row>
    <row r="115" spans="1:9" x14ac:dyDescent="0.25">
      <c r="A115" s="4">
        <v>108</v>
      </c>
      <c r="B115" s="3">
        <v>-0.52324879373084399</v>
      </c>
      <c r="C115" s="12">
        <f t="shared" si="9"/>
        <v>0.17400081175347051</v>
      </c>
      <c r="D115" s="12">
        <f t="shared" si="10"/>
        <v>6.150259170375074E-4</v>
      </c>
      <c r="E115" s="13">
        <f t="shared" si="11"/>
        <v>-0.75457464661158447</v>
      </c>
      <c r="F115" s="12">
        <f t="shared" si="12"/>
        <v>-0.59481340298432528</v>
      </c>
      <c r="G115" s="12">
        <f t="shared" si="13"/>
        <v>7.1564609253481293E-2</v>
      </c>
      <c r="H115" s="12">
        <f t="shared" si="14"/>
        <v>5.1214932976034605E-3</v>
      </c>
      <c r="I115" s="15">
        <f t="shared" si="15"/>
        <v>13.676975486787974</v>
      </c>
    </row>
    <row r="116" spans="1:9" x14ac:dyDescent="0.25">
      <c r="A116" s="3">
        <v>109</v>
      </c>
      <c r="B116" s="3">
        <v>-0.123596848485736</v>
      </c>
      <c r="C116" s="12">
        <f t="shared" si="9"/>
        <v>0.16875698290887883</v>
      </c>
      <c r="D116" s="12">
        <f t="shared" si="10"/>
        <v>5.2714309561306954E-4</v>
      </c>
      <c r="E116" s="13">
        <f t="shared" si="11"/>
        <v>-0.24765774439048119</v>
      </c>
      <c r="F116" s="12">
        <f t="shared" si="12"/>
        <v>-6.7798231708315032E-2</v>
      </c>
      <c r="G116" s="12">
        <f t="shared" si="13"/>
        <v>5.579861677742097E-2</v>
      </c>
      <c r="H116" s="12">
        <f t="shared" si="14"/>
        <v>3.1134856342734849E-3</v>
      </c>
      <c r="I116" s="15">
        <f t="shared" si="15"/>
        <v>45.145663065883554</v>
      </c>
    </row>
    <row r="117" spans="1:9" x14ac:dyDescent="0.25">
      <c r="A117" s="4">
        <v>110</v>
      </c>
      <c r="B117" s="3">
        <v>0.232903788675769</v>
      </c>
      <c r="C117" s="12">
        <f t="shared" si="9"/>
        <v>0.14006969338659681</v>
      </c>
      <c r="D117" s="12">
        <f t="shared" si="10"/>
        <v>8.8926606344643083E-5</v>
      </c>
      <c r="E117" s="13">
        <f t="shared" si="11"/>
        <v>0.31570543707726201</v>
      </c>
      <c r="F117" s="12">
        <f t="shared" si="12"/>
        <v>0.51113648027476999</v>
      </c>
      <c r="G117" s="12">
        <f t="shared" si="13"/>
        <v>0.27823269159900099</v>
      </c>
      <c r="H117" s="12">
        <f t="shared" si="14"/>
        <v>7.7413430674424799E-2</v>
      </c>
      <c r="I117" s="15">
        <f t="shared" si="15"/>
        <v>119.46250131050272</v>
      </c>
    </row>
    <row r="118" spans="1:9" x14ac:dyDescent="0.25">
      <c r="A118" s="3">
        <v>111</v>
      </c>
      <c r="B118" s="3">
        <v>-0.41556926245626602</v>
      </c>
      <c r="C118" s="12">
        <f t="shared" si="9"/>
        <v>5.1196825367487875E-2</v>
      </c>
      <c r="D118" s="12">
        <f t="shared" si="10"/>
        <v>-1.2455003130371605E-3</v>
      </c>
      <c r="E118" s="13">
        <f t="shared" si="11"/>
        <v>0.21190649827009322</v>
      </c>
      <c r="F118" s="12">
        <f t="shared" si="12"/>
        <v>0.43168592445281562</v>
      </c>
      <c r="G118" s="12">
        <f t="shared" si="13"/>
        <v>0.84725518690908164</v>
      </c>
      <c r="H118" s="12">
        <f t="shared" si="14"/>
        <v>0.71784135174434283</v>
      </c>
      <c r="I118" s="15">
        <f t="shared" si="15"/>
        <v>203.8782132011618</v>
      </c>
    </row>
    <row r="119" spans="1:9" x14ac:dyDescent="0.25">
      <c r="A119" s="4">
        <v>112</v>
      </c>
      <c r="B119" s="3">
        <v>0.29207848059781</v>
      </c>
      <c r="C119" s="12">
        <f t="shared" si="9"/>
        <v>0.12838010237524808</v>
      </c>
      <c r="D119" s="12">
        <f t="shared" si="10"/>
        <v>-6.9068653225200097E-5</v>
      </c>
      <c r="E119" s="13">
        <f t="shared" si="11"/>
        <v>-0.4346198251430734</v>
      </c>
      <c r="F119" s="12">
        <f t="shared" si="12"/>
        <v>-0.4548622557907363</v>
      </c>
      <c r="G119" s="12">
        <f t="shared" si="13"/>
        <v>0.7469407363885463</v>
      </c>
      <c r="H119" s="12">
        <f t="shared" si="14"/>
        <v>0.55792046367666381</v>
      </c>
      <c r="I119" s="15">
        <f t="shared" si="15"/>
        <v>255.73288893442253</v>
      </c>
    </row>
    <row r="120" spans="1:9" x14ac:dyDescent="0.25">
      <c r="A120" s="3">
        <v>113</v>
      </c>
      <c r="B120" s="3">
        <v>2.4039058909624399E-2</v>
      </c>
      <c r="C120" s="12">
        <f t="shared" si="9"/>
        <v>0.12984021266760029</v>
      </c>
      <c r="D120" s="12">
        <f t="shared" si="10"/>
        <v>-4.61309690415389E-5</v>
      </c>
      <c r="E120" s="13">
        <f t="shared" si="11"/>
        <v>-0.11746696866160579</v>
      </c>
      <c r="F120" s="12">
        <f t="shared" si="12"/>
        <v>9.4754499041253132E-3</v>
      </c>
      <c r="G120" s="12">
        <f t="shared" si="13"/>
        <v>1.4563609005499085E-2</v>
      </c>
      <c r="H120" s="12">
        <f t="shared" si="14"/>
        <v>2.1209870726505406E-4</v>
      </c>
      <c r="I120" s="15">
        <f t="shared" si="15"/>
        <v>60.583107933848133</v>
      </c>
    </row>
    <row r="121" spans="1:9" x14ac:dyDescent="0.25">
      <c r="A121" s="4">
        <v>114</v>
      </c>
      <c r="B121" s="3">
        <v>0.72006824287332905</v>
      </c>
      <c r="C121" s="12">
        <f t="shared" si="9"/>
        <v>0.14856966875195826</v>
      </c>
      <c r="D121" s="12">
        <f t="shared" si="10"/>
        <v>2.3550283675945373E-4</v>
      </c>
      <c r="E121" s="13">
        <f t="shared" si="11"/>
        <v>0.42826319679328162</v>
      </c>
      <c r="F121" s="12">
        <f t="shared" si="12"/>
        <v>0.5412531280790478</v>
      </c>
      <c r="G121" s="12">
        <f t="shared" si="13"/>
        <v>0.17881511479428125</v>
      </c>
      <c r="H121" s="12">
        <f t="shared" si="14"/>
        <v>3.1974845278891981E-2</v>
      </c>
      <c r="I121" s="15">
        <f t="shared" si="15"/>
        <v>24.8330788871823</v>
      </c>
    </row>
    <row r="122" spans="1:9" x14ac:dyDescent="0.25">
      <c r="A122" s="3">
        <v>115</v>
      </c>
      <c r="B122" s="3">
        <v>-0.19667533261881301</v>
      </c>
      <c r="C122" s="12">
        <f t="shared" si="9"/>
        <v>0.15832874365736066</v>
      </c>
      <c r="D122" s="12">
        <f t="shared" si="10"/>
        <v>3.7835641778909791E-4</v>
      </c>
      <c r="E122" s="13">
        <f t="shared" si="11"/>
        <v>-0.42765759357412314</v>
      </c>
      <c r="F122" s="12">
        <f t="shared" si="12"/>
        <v>-0.28737601898684084</v>
      </c>
      <c r="G122" s="12">
        <f t="shared" si="13"/>
        <v>9.0700686368027833E-2</v>
      </c>
      <c r="H122" s="12">
        <f t="shared" si="14"/>
        <v>8.2266145076313503E-3</v>
      </c>
      <c r="I122" s="15">
        <f t="shared" si="15"/>
        <v>46.116960963182748</v>
      </c>
    </row>
    <row r="123" spans="1:9" x14ac:dyDescent="0.25">
      <c r="A123" s="4">
        <v>116</v>
      </c>
      <c r="B123" s="3">
        <v>-0.1373758195301</v>
      </c>
      <c r="C123" s="12">
        <f t="shared" si="9"/>
        <v>0.12475106799380248</v>
      </c>
      <c r="D123" s="12">
        <f t="shared" si="10"/>
        <v>-1.3098406343111128E-4</v>
      </c>
      <c r="E123" s="13">
        <f t="shared" si="11"/>
        <v>-3.0827865909385556E-3</v>
      </c>
      <c r="F123" s="12">
        <f t="shared" si="12"/>
        <v>0.18601496219701702</v>
      </c>
      <c r="G123" s="12">
        <f t="shared" si="13"/>
        <v>0.32339078172711699</v>
      </c>
      <c r="H123" s="12">
        <f t="shared" si="14"/>
        <v>0.10458159770607582</v>
      </c>
      <c r="I123" s="15">
        <f t="shared" si="15"/>
        <v>235.40589809275701</v>
      </c>
    </row>
    <row r="124" spans="1:9" x14ac:dyDescent="0.25">
      <c r="A124" s="3">
        <v>117</v>
      </c>
      <c r="B124" s="3">
        <v>0.26097719003994102</v>
      </c>
      <c r="C124" s="12">
        <f t="shared" si="9"/>
        <v>0.15226077882170022</v>
      </c>
      <c r="D124" s="12">
        <f t="shared" si="10"/>
        <v>2.8362635993882152E-4</v>
      </c>
      <c r="E124" s="13">
        <f t="shared" si="11"/>
        <v>-0.10214918521344209</v>
      </c>
      <c r="F124" s="12">
        <f t="shared" si="12"/>
        <v>-2.2675232108100435E-3</v>
      </c>
      <c r="G124" s="12">
        <f t="shared" si="13"/>
        <v>0.26324471325075105</v>
      </c>
      <c r="H124" s="12">
        <f t="shared" si="14"/>
        <v>6.9297779054470141E-2</v>
      </c>
      <c r="I124" s="15">
        <f t="shared" si="15"/>
        <v>100.86885877285405</v>
      </c>
    </row>
    <row r="125" spans="1:9" x14ac:dyDescent="0.25">
      <c r="A125" s="4">
        <v>118</v>
      </c>
      <c r="B125" s="3">
        <v>-0.39975189691026197</v>
      </c>
      <c r="C125" s="12">
        <f t="shared" si="9"/>
        <v>0.1106442719082644</v>
      </c>
      <c r="D125" s="12">
        <f t="shared" si="10"/>
        <v>-3.4487563916179811E-4</v>
      </c>
      <c r="E125" s="13">
        <f t="shared" si="11"/>
        <v>-0.19074803305371765</v>
      </c>
      <c r="F125" s="12">
        <f t="shared" si="12"/>
        <v>-7.0300859240832181E-4</v>
      </c>
      <c r="G125" s="12">
        <f t="shared" si="13"/>
        <v>0.39904888831785368</v>
      </c>
      <c r="H125" s="12">
        <f t="shared" si="14"/>
        <v>0.15924001526771486</v>
      </c>
      <c r="I125" s="15">
        <f t="shared" si="15"/>
        <v>99.824138772613225</v>
      </c>
    </row>
    <row r="126" spans="1:9" x14ac:dyDescent="0.25">
      <c r="A126" s="3">
        <v>119</v>
      </c>
      <c r="B126" s="3">
        <v>2.2177141568608301</v>
      </c>
      <c r="C126" s="12">
        <f t="shared" si="9"/>
        <v>0.22870568688918236</v>
      </c>
      <c r="D126" s="12">
        <f t="shared" si="10"/>
        <v>1.4312187201393981E-3</v>
      </c>
      <c r="E126" s="13">
        <f t="shared" si="11"/>
        <v>1.0857094324102252</v>
      </c>
      <c r="F126" s="12">
        <f t="shared" si="12"/>
        <v>1.0900351985743564</v>
      </c>
      <c r="G126" s="12">
        <f t="shared" si="13"/>
        <v>1.1276789582864737</v>
      </c>
      <c r="H126" s="12">
        <f t="shared" si="14"/>
        <v>1.2716598329620665</v>
      </c>
      <c r="I126" s="15">
        <f t="shared" si="15"/>
        <v>50.848706304093803</v>
      </c>
    </row>
    <row r="127" spans="1:9" x14ac:dyDescent="0.25">
      <c r="A127" s="4">
        <v>120</v>
      </c>
      <c r="B127" s="3">
        <v>-0.77304417692133498</v>
      </c>
      <c r="C127" s="12">
        <f t="shared" si="9"/>
        <v>0.20403322983781919</v>
      </c>
      <c r="D127" s="12">
        <f t="shared" si="10"/>
        <v>1.0396635835668597E-3</v>
      </c>
      <c r="E127" s="13">
        <f t="shared" si="11"/>
        <v>-0.77793743642707924</v>
      </c>
      <c r="F127" s="12">
        <f t="shared" si="12"/>
        <v>-0.5244377410022627</v>
      </c>
      <c r="G127" s="12">
        <f t="shared" si="13"/>
        <v>0.24860643591907228</v>
      </c>
      <c r="H127" s="12">
        <f t="shared" si="14"/>
        <v>6.1805159980383793E-2</v>
      </c>
      <c r="I127" s="15">
        <f t="shared" si="15"/>
        <v>32.159408652316969</v>
      </c>
    </row>
    <row r="128" spans="1:9" x14ac:dyDescent="0.25">
      <c r="A128" s="3">
        <v>121</v>
      </c>
      <c r="B128" s="3">
        <v>7.6621728321520602E-2</v>
      </c>
      <c r="C128" s="12">
        <f t="shared" si="9"/>
        <v>0.2175895842469007</v>
      </c>
      <c r="D128" s="12">
        <f t="shared" si="10"/>
        <v>1.2274139459495794E-3</v>
      </c>
      <c r="E128" s="13">
        <f t="shared" si="11"/>
        <v>-0.23645530610164558</v>
      </c>
      <c r="F128" s="12">
        <f t="shared" si="12"/>
        <v>-4.2584850969095145E-2</v>
      </c>
      <c r="G128" s="12">
        <f t="shared" si="13"/>
        <v>0.11920657929061575</v>
      </c>
      <c r="H128" s="12">
        <f t="shared" si="14"/>
        <v>1.421020854616986E-2</v>
      </c>
      <c r="I128" s="15">
        <f t="shared" si="15"/>
        <v>155.57803498036523</v>
      </c>
    </row>
    <row r="129" spans="1:9" x14ac:dyDescent="0.25">
      <c r="A129" s="4">
        <v>122</v>
      </c>
      <c r="B129" s="3">
        <v>0.22805860258279301</v>
      </c>
      <c r="C129" s="12">
        <f t="shared" si="9"/>
        <v>0.18663829576068175</v>
      </c>
      <c r="D129" s="12">
        <f t="shared" si="10"/>
        <v>7.4473340946705155E-4</v>
      </c>
      <c r="E129" s="13">
        <f t="shared" si="11"/>
        <v>0.28690549840047114</v>
      </c>
      <c r="F129" s="12">
        <f t="shared" si="12"/>
        <v>0.53452243527011234</v>
      </c>
      <c r="G129" s="12">
        <f t="shared" si="13"/>
        <v>0.30646383268731936</v>
      </c>
      <c r="H129" s="12">
        <f t="shared" si="14"/>
        <v>9.3920080745401271E-2</v>
      </c>
      <c r="I129" s="15">
        <f t="shared" si="15"/>
        <v>134.3794223136409</v>
      </c>
    </row>
    <row r="130" spans="1:9" x14ac:dyDescent="0.25">
      <c r="A130" s="3">
        <v>123</v>
      </c>
      <c r="B130" s="3">
        <v>0.25739030848724098</v>
      </c>
      <c r="C130" s="12">
        <f t="shared" si="9"/>
        <v>0.17248361118008368</v>
      </c>
      <c r="D130" s="12">
        <f t="shared" si="10"/>
        <v>5.2124213961607466E-4</v>
      </c>
      <c r="E130" s="13">
        <f t="shared" si="11"/>
        <v>0.19857151916898494</v>
      </c>
      <c r="F130" s="12">
        <f t="shared" si="12"/>
        <v>0.39928952744024204</v>
      </c>
      <c r="G130" s="12">
        <f t="shared" si="13"/>
        <v>0.14189921895300106</v>
      </c>
      <c r="H130" s="12">
        <f t="shared" si="14"/>
        <v>2.0135388339471736E-2</v>
      </c>
      <c r="I130" s="15">
        <f t="shared" si="15"/>
        <v>55.1299774210555</v>
      </c>
    </row>
    <row r="131" spans="1:9" x14ac:dyDescent="0.25">
      <c r="A131" s="4">
        <v>124</v>
      </c>
      <c r="B131" s="3">
        <v>-0.23233033044880799</v>
      </c>
      <c r="C131" s="12">
        <f t="shared" si="9"/>
        <v>0.17607974066402915</v>
      </c>
      <c r="D131" s="12">
        <f t="shared" si="10"/>
        <v>5.6736544978101561E-4</v>
      </c>
      <c r="E131" s="13">
        <f t="shared" si="11"/>
        <v>-0.43186780096989857</v>
      </c>
      <c r="F131" s="12">
        <f t="shared" si="12"/>
        <v>-0.26161497182337368</v>
      </c>
      <c r="G131" s="12">
        <f t="shared" si="13"/>
        <v>2.9284641374565684E-2</v>
      </c>
      <c r="H131" s="12">
        <f t="shared" si="14"/>
        <v>8.5759022043692434E-4</v>
      </c>
      <c r="I131" s="15">
        <f t="shared" si="15"/>
        <v>12.604743133621248</v>
      </c>
    </row>
    <row r="132" spans="1:9" x14ac:dyDescent="0.25">
      <c r="A132" s="3">
        <v>125</v>
      </c>
      <c r="B132" s="3">
        <v>0.183950966780146</v>
      </c>
      <c r="C132" s="12">
        <f t="shared" si="9"/>
        <v>0.18974804319324401</v>
      </c>
      <c r="D132" s="12">
        <f t="shared" si="10"/>
        <v>7.6387950597252329E-4</v>
      </c>
      <c r="E132" s="13">
        <f t="shared" si="11"/>
        <v>-0.10574162997551248</v>
      </c>
      <c r="F132" s="12">
        <f t="shared" si="12"/>
        <v>5.9180137452204365E-2</v>
      </c>
      <c r="G132" s="12">
        <f t="shared" si="13"/>
        <v>0.12477082932794163</v>
      </c>
      <c r="H132" s="12">
        <f t="shared" si="14"/>
        <v>1.556775985118234E-2</v>
      </c>
      <c r="I132" s="15">
        <f t="shared" si="15"/>
        <v>67.828308549780488</v>
      </c>
    </row>
    <row r="133" spans="1:9" x14ac:dyDescent="0.25">
      <c r="A133" s="4">
        <v>126</v>
      </c>
      <c r="B133" s="3">
        <v>0.62568488619170004</v>
      </c>
      <c r="C133" s="12">
        <f t="shared" si="9"/>
        <v>0.19123744820263275</v>
      </c>
      <c r="D133" s="12">
        <f t="shared" si="10"/>
        <v>7.7476238852376656E-4</v>
      </c>
      <c r="E133" s="13">
        <f t="shared" si="11"/>
        <v>0.42891254211883917</v>
      </c>
      <c r="F133" s="12">
        <f t="shared" si="12"/>
        <v>0.61877511949249819</v>
      </c>
      <c r="G133" s="12">
        <f t="shared" si="13"/>
        <v>6.9097666992018469E-3</v>
      </c>
      <c r="H133" s="12">
        <f t="shared" si="14"/>
        <v>4.774487583739879E-5</v>
      </c>
      <c r="I133" s="15">
        <f t="shared" si="15"/>
        <v>1.1043525026245884</v>
      </c>
    </row>
    <row r="134" spans="1:9" x14ac:dyDescent="0.25">
      <c r="A134" s="3">
        <v>127</v>
      </c>
      <c r="B134" s="3">
        <v>2.9971789732134001E-2</v>
      </c>
      <c r="C134" s="12">
        <f t="shared" si="9"/>
        <v>0.21990201372624207</v>
      </c>
      <c r="D134" s="12">
        <f t="shared" si="10"/>
        <v>1.1931094355500499E-3</v>
      </c>
      <c r="E134" s="13">
        <f t="shared" si="11"/>
        <v>-0.40269621976822156</v>
      </c>
      <c r="F134" s="12">
        <f t="shared" si="12"/>
        <v>-0.23564538298296664</v>
      </c>
      <c r="G134" s="12">
        <f t="shared" si="13"/>
        <v>0.26561717271510066</v>
      </c>
      <c r="H134" s="12">
        <f t="shared" si="14"/>
        <v>7.0552482441163619E-2</v>
      </c>
      <c r="I134" s="15">
        <f t="shared" si="15"/>
        <v>886.22392953171379</v>
      </c>
    </row>
    <row r="135" spans="1:9" x14ac:dyDescent="0.25">
      <c r="A135" s="4">
        <v>128</v>
      </c>
      <c r="B135" s="3">
        <v>0.75153331508200705</v>
      </c>
      <c r="C135" s="12">
        <f t="shared" si="9"/>
        <v>0.27711482590546321</v>
      </c>
      <c r="D135" s="12">
        <f t="shared" si="10"/>
        <v>2.0334049767051165E-3</v>
      </c>
      <c r="E135" s="13">
        <f t="shared" si="11"/>
        <v>4.7054847364647094E-2</v>
      </c>
      <c r="F135" s="12">
        <f t="shared" si="12"/>
        <v>0.21801233657085356</v>
      </c>
      <c r="G135" s="12">
        <f t="shared" si="13"/>
        <v>0.53352097851115343</v>
      </c>
      <c r="H135" s="12">
        <f t="shared" si="14"/>
        <v>0.28464463451149863</v>
      </c>
      <c r="I135" s="15">
        <f t="shared" si="15"/>
        <v>70.990995050290735</v>
      </c>
    </row>
    <row r="136" spans="1:9" x14ac:dyDescent="0.25">
      <c r="A136" s="3">
        <v>129</v>
      </c>
      <c r="B136" s="3">
        <v>6.7089541717939793E-2</v>
      </c>
      <c r="C136" s="12">
        <f t="shared" si="9"/>
        <v>0.26760773296733575</v>
      </c>
      <c r="D136" s="12">
        <f t="shared" si="10"/>
        <v>1.8602975079826281E-3</v>
      </c>
      <c r="E136" s="13">
        <f t="shared" si="11"/>
        <v>-0.11247793084721724</v>
      </c>
      <c r="F136" s="12">
        <f t="shared" si="12"/>
        <v>0.17699904566872626</v>
      </c>
      <c r="G136" s="12">
        <f t="shared" si="13"/>
        <v>0.10990950395078647</v>
      </c>
      <c r="H136" s="12">
        <f t="shared" si="14"/>
        <v>1.2080099058707947E-2</v>
      </c>
      <c r="I136" s="15">
        <f t="shared" si="15"/>
        <v>163.82509275867744</v>
      </c>
    </row>
    <row r="137" spans="1:9" x14ac:dyDescent="0.25">
      <c r="A137" s="4">
        <v>130</v>
      </c>
      <c r="B137" s="3">
        <v>0.13754162391590499</v>
      </c>
      <c r="C137" s="12">
        <f t="shared" si="9"/>
        <v>0.27564430125722034</v>
      </c>
      <c r="D137" s="12">
        <f t="shared" si="10"/>
        <v>1.9529415697111573E-3</v>
      </c>
      <c r="E137" s="13">
        <f t="shared" si="11"/>
        <v>-0.18522027070391542</v>
      </c>
      <c r="F137" s="12">
        <f t="shared" si="12"/>
        <v>7.8719997421600713E-2</v>
      </c>
      <c r="G137" s="12">
        <f t="shared" si="13"/>
        <v>5.882162649430428E-2</v>
      </c>
      <c r="H137" s="12">
        <f t="shared" si="14"/>
        <v>3.4599837434354393E-3</v>
      </c>
      <c r="I137" s="15">
        <f t="shared" si="15"/>
        <v>42.766418499078291</v>
      </c>
    </row>
    <row r="138" spans="1:9" x14ac:dyDescent="0.25">
      <c r="A138" s="3">
        <v>131</v>
      </c>
      <c r="B138" s="3">
        <v>2.1926422552745799</v>
      </c>
      <c r="C138" s="12">
        <f t="shared" si="9"/>
        <v>0.36467747873086093</v>
      </c>
      <c r="D138" s="12">
        <f t="shared" si="10"/>
        <v>3.2591451082700984E-3</v>
      </c>
      <c r="E138" s="13">
        <f t="shared" si="11"/>
        <v>1.1636462435442421</v>
      </c>
      <c r="F138" s="12">
        <f t="shared" si="12"/>
        <v>1.3633066752371568</v>
      </c>
      <c r="G138" s="12">
        <f t="shared" si="13"/>
        <v>0.82933558003742314</v>
      </c>
      <c r="H138" s="12">
        <f t="shared" si="14"/>
        <v>0.68779750431600906</v>
      </c>
      <c r="I138" s="15">
        <f t="shared" si="15"/>
        <v>37.823570080453791</v>
      </c>
    </row>
    <row r="139" spans="1:9" x14ac:dyDescent="0.25">
      <c r="A139" s="4">
        <v>132</v>
      </c>
      <c r="B139" s="3">
        <v>-0.73803549074651698</v>
      </c>
      <c r="C139" s="12">
        <f t="shared" si="9"/>
        <v>0.33349298263248128</v>
      </c>
      <c r="D139" s="12">
        <f t="shared" si="10"/>
        <v>2.7424904901703524E-3</v>
      </c>
      <c r="E139" s="13">
        <f t="shared" si="11"/>
        <v>-0.80876449530703076</v>
      </c>
      <c r="F139" s="12">
        <f t="shared" si="12"/>
        <v>-0.41000081258794824</v>
      </c>
      <c r="G139" s="12">
        <f t="shared" si="13"/>
        <v>0.32803467815856874</v>
      </c>
      <c r="H139" s="12">
        <f t="shared" si="14"/>
        <v>0.10760675007459578</v>
      </c>
      <c r="I139" s="15">
        <f t="shared" si="15"/>
        <v>44.447005905740966</v>
      </c>
    </row>
    <row r="140" spans="1:9" x14ac:dyDescent="0.25">
      <c r="A140" s="3">
        <v>133</v>
      </c>
      <c r="B140" s="3">
        <v>-0.20773637432679301</v>
      </c>
      <c r="C140" s="12">
        <f t="shared" si="9"/>
        <v>0.30394623628113271</v>
      </c>
      <c r="D140" s="12">
        <f t="shared" si="10"/>
        <v>2.2581519375475686E-3</v>
      </c>
      <c r="E140" s="13">
        <f t="shared" si="11"/>
        <v>-0.26535417307480502</v>
      </c>
      <c r="F140" s="12">
        <f t="shared" si="12"/>
        <v>9.9780167021006033E-2</v>
      </c>
      <c r="G140" s="12">
        <f t="shared" si="13"/>
        <v>0.30751654134779904</v>
      </c>
      <c r="H140" s="12">
        <f t="shared" si="14"/>
        <v>9.4566423202512601E-2</v>
      </c>
      <c r="I140" s="15">
        <f t="shared" si="15"/>
        <v>148.03211153769368</v>
      </c>
    </row>
    <row r="141" spans="1:9" x14ac:dyDescent="0.25">
      <c r="A141" s="4">
        <v>134</v>
      </c>
      <c r="B141" s="3">
        <v>-3.4941211838665102E-2</v>
      </c>
      <c r="C141" s="12">
        <f t="shared" si="9"/>
        <v>0.24025902288060955</v>
      </c>
      <c r="D141" s="12">
        <f t="shared" si="10"/>
        <v>1.2689714574765079E-3</v>
      </c>
      <c r="E141" s="13">
        <f t="shared" si="11"/>
        <v>0.22788439642289787</v>
      </c>
      <c r="F141" s="12">
        <f t="shared" si="12"/>
        <v>0.59310988661915143</v>
      </c>
      <c r="G141" s="12">
        <f t="shared" si="13"/>
        <v>0.62805109845781648</v>
      </c>
      <c r="H141" s="12">
        <f t="shared" si="14"/>
        <v>0.39444818227406991</v>
      </c>
      <c r="I141" s="15">
        <f t="shared" si="15"/>
        <v>1797.4508192724738</v>
      </c>
    </row>
    <row r="142" spans="1:9" x14ac:dyDescent="0.25">
      <c r="A142" s="3">
        <v>135</v>
      </c>
      <c r="B142" s="3">
        <v>0.464365357040666</v>
      </c>
      <c r="C142" s="12">
        <f t="shared" si="9"/>
        <v>0.24407590790911354</v>
      </c>
      <c r="D142" s="12">
        <f t="shared" si="10"/>
        <v>1.3071901610419202E-3</v>
      </c>
      <c r="E142" s="13">
        <f t="shared" si="11"/>
        <v>0.20085190181505455</v>
      </c>
      <c r="F142" s="12">
        <f t="shared" si="12"/>
        <v>0.44009951350707099</v>
      </c>
      <c r="G142" s="12">
        <f t="shared" si="13"/>
        <v>2.4265843533595011E-2</v>
      </c>
      <c r="H142" s="12">
        <f t="shared" si="14"/>
        <v>5.8883116239691476E-4</v>
      </c>
      <c r="I142" s="15">
        <f t="shared" si="15"/>
        <v>5.2255929874351006</v>
      </c>
    </row>
    <row r="143" spans="1:9" x14ac:dyDescent="0.25">
      <c r="A143" s="4">
        <v>136</v>
      </c>
      <c r="B143" s="3">
        <v>-0.16538504401635101</v>
      </c>
      <c r="C143" s="12">
        <f t="shared" si="9"/>
        <v>0.24759856225291163</v>
      </c>
      <c r="D143" s="12">
        <f t="shared" si="10"/>
        <v>1.3404221237832627E-3</v>
      </c>
      <c r="E143" s="13">
        <f t="shared" si="11"/>
        <v>-0.42988496052633185</v>
      </c>
      <c r="F143" s="12">
        <f t="shared" si="12"/>
        <v>-0.18648470289974312</v>
      </c>
      <c r="G143" s="12">
        <f t="shared" si="13"/>
        <v>2.1099658883392103E-2</v>
      </c>
      <c r="H143" s="12">
        <f t="shared" si="14"/>
        <v>4.4519560499550726E-4</v>
      </c>
      <c r="I143" s="15">
        <f t="shared" si="15"/>
        <v>12.757900213338552</v>
      </c>
    </row>
    <row r="144" spans="1:9" x14ac:dyDescent="0.25">
      <c r="A144" s="3">
        <v>137</v>
      </c>
      <c r="B144" s="3">
        <v>-4.0643193232936498E-2</v>
      </c>
      <c r="C144" s="12">
        <f t="shared" si="9"/>
        <v>0.22963572687511241</v>
      </c>
      <c r="D144" s="12">
        <f t="shared" si="10"/>
        <v>1.0508732612595256E-3</v>
      </c>
      <c r="E144" s="13">
        <f t="shared" si="11"/>
        <v>-0.12301804543942881</v>
      </c>
      <c r="F144" s="12">
        <f t="shared" si="12"/>
        <v>0.14319735440118242</v>
      </c>
      <c r="G144" s="12">
        <f t="shared" si="13"/>
        <v>0.18384054763411892</v>
      </c>
      <c r="H144" s="12">
        <f t="shared" si="14"/>
        <v>3.3797346954412749E-2</v>
      </c>
      <c r="I144" s="15">
        <f t="shared" si="15"/>
        <v>452.32801118869253</v>
      </c>
    </row>
    <row r="145" spans="1:9" x14ac:dyDescent="0.25">
      <c r="A145" s="4">
        <v>138</v>
      </c>
      <c r="B145" s="3">
        <v>0.57057204783070903</v>
      </c>
      <c r="C145" s="12">
        <f t="shared" si="9"/>
        <v>0.22133875522179922</v>
      </c>
      <c r="D145" s="12">
        <f t="shared" si="10"/>
        <v>9.1065558754093486E-4</v>
      </c>
      <c r="E145" s="13">
        <f t="shared" si="11"/>
        <v>0.42054622092029659</v>
      </c>
      <c r="F145" s="12">
        <f t="shared" si="12"/>
        <v>0.6595991422552111</v>
      </c>
      <c r="G145" s="12">
        <f t="shared" si="13"/>
        <v>8.9027094424502073E-2</v>
      </c>
      <c r="H145" s="12">
        <f t="shared" si="14"/>
        <v>7.925823541669208E-3</v>
      </c>
      <c r="I145" s="15">
        <f t="shared" si="15"/>
        <v>15.603129309081885</v>
      </c>
    </row>
    <row r="146" spans="1:9" x14ac:dyDescent="0.25">
      <c r="A146" s="3">
        <v>139</v>
      </c>
      <c r="B146" s="3">
        <v>-0.10379457686739101</v>
      </c>
      <c r="C146" s="12">
        <f t="shared" si="9"/>
        <v>0.23029789517894667</v>
      </c>
      <c r="D146" s="12">
        <f t="shared" si="10"/>
        <v>1.0313828530850327E-3</v>
      </c>
      <c r="E146" s="13">
        <f t="shared" si="11"/>
        <v>-0.39549282625742377</v>
      </c>
      <c r="F146" s="12">
        <f t="shared" si="12"/>
        <v>-0.18044680895888141</v>
      </c>
      <c r="G146" s="12">
        <f t="shared" si="13"/>
        <v>7.6652232091490399E-2</v>
      </c>
      <c r="H146" s="12">
        <f t="shared" si="14"/>
        <v>5.8755646846077106E-3</v>
      </c>
      <c r="I146" s="15">
        <f t="shared" si="15"/>
        <v>73.849939375370312</v>
      </c>
    </row>
    <row r="147" spans="1:9" x14ac:dyDescent="0.25">
      <c r="A147" s="4">
        <v>140</v>
      </c>
      <c r="B147" s="3">
        <v>-4.1603643330901302E-2</v>
      </c>
      <c r="C147" s="12">
        <f t="shared" si="9"/>
        <v>0.19773056231563579</v>
      </c>
      <c r="D147" s="12">
        <f t="shared" si="10"/>
        <v>5.2740211733909412E-4</v>
      </c>
      <c r="E147" s="13">
        <f t="shared" si="11"/>
        <v>1.6983996798472754E-2</v>
      </c>
      <c r="F147" s="12">
        <f t="shared" si="12"/>
        <v>0.27838412539667878</v>
      </c>
      <c r="G147" s="12">
        <f t="shared" si="13"/>
        <v>0.31998776872758006</v>
      </c>
      <c r="H147" s="12">
        <f t="shared" si="14"/>
        <v>0.10239217213525525</v>
      </c>
      <c r="I147" s="15">
        <f t="shared" si="15"/>
        <v>769.13400632369053</v>
      </c>
    </row>
    <row r="148" spans="1:9" x14ac:dyDescent="0.25">
      <c r="A148" s="3">
        <v>141</v>
      </c>
      <c r="B148" s="3">
        <v>-0.18435997843239499</v>
      </c>
      <c r="C148" s="12">
        <f t="shared" ref="C148:C211" si="16">$D$3 * (B148 - E136) + (1 - $D$3) * (C147 + D147)</f>
        <v>0.16989326317106887</v>
      </c>
      <c r="D148" s="12">
        <f t="shared" ref="D148:D211" si="17">$E$3 * (C148 - C147) + (1 - $E$3) * D147</f>
        <v>1.0193159841050386E-4</v>
      </c>
      <c r="E148" s="13">
        <f t="shared" ref="E148:E211" si="18">$F$3*(B148-C148)+(1-$F$3)*E136</f>
        <v>-0.13786433847662313</v>
      </c>
      <c r="F148" s="12">
        <f t="shared" si="12"/>
        <v>8.5780033585757642E-2</v>
      </c>
      <c r="G148" s="12">
        <f t="shared" si="13"/>
        <v>0.27014001201815263</v>
      </c>
      <c r="H148" s="12">
        <f t="shared" si="14"/>
        <v>7.2975626093167642E-2</v>
      </c>
      <c r="I148" s="15">
        <f t="shared" si="15"/>
        <v>146.52855479542882</v>
      </c>
    </row>
    <row r="149" spans="1:9" x14ac:dyDescent="0.25">
      <c r="A149" s="4">
        <v>142</v>
      </c>
      <c r="B149" s="3">
        <v>-5.0762888115602499E-2</v>
      </c>
      <c r="C149" s="12">
        <f t="shared" si="16"/>
        <v>0.1662637244904569</v>
      </c>
      <c r="D149" s="12">
        <f t="shared" si="17"/>
        <v>4.5959544225166741E-5</v>
      </c>
      <c r="E149" s="13">
        <f t="shared" si="18"/>
        <v>-0.18855993660364054</v>
      </c>
      <c r="F149" s="12">
        <f t="shared" ref="F149:F212" si="19">C148+D148+E137</f>
        <v>-1.5225075934436033E-2</v>
      </c>
      <c r="G149" s="12">
        <f t="shared" ref="G149:G212" si="20">ABS(B149-F149)</f>
        <v>3.5537812181166466E-2</v>
      </c>
      <c r="H149" s="12">
        <f t="shared" ref="H149:H212" si="21">(B149-F149)^2</f>
        <v>1.2629360946238635E-3</v>
      </c>
      <c r="I149" s="15">
        <f t="shared" ref="I149:I212" si="22">ABS((B149 - F149) / B149) * 100</f>
        <v>70.007467069714551</v>
      </c>
    </row>
    <row r="150" spans="1:9" x14ac:dyDescent="0.25">
      <c r="A150" s="3">
        <v>143</v>
      </c>
      <c r="B150" s="3">
        <v>2.1792765718036402</v>
      </c>
      <c r="C150" s="12">
        <f t="shared" si="16"/>
        <v>0.25548835167827727</v>
      </c>
      <c r="D150" s="12">
        <f t="shared" si="17"/>
        <v>1.3836395588790948E-3</v>
      </c>
      <c r="E150" s="13">
        <f t="shared" si="18"/>
        <v>1.2434611510852598</v>
      </c>
      <c r="F150" s="12">
        <f t="shared" si="19"/>
        <v>1.3299559275789241</v>
      </c>
      <c r="G150" s="12">
        <f t="shared" si="20"/>
        <v>0.84932064422471609</v>
      </c>
      <c r="H150" s="12">
        <f t="shared" si="21"/>
        <v>0.72134555670628675</v>
      </c>
      <c r="I150" s="15">
        <f t="shared" si="22"/>
        <v>38.972595549072082</v>
      </c>
    </row>
    <row r="151" spans="1:9" x14ac:dyDescent="0.25">
      <c r="A151" s="4">
        <v>144</v>
      </c>
      <c r="B151" s="3">
        <v>-0.20739136575279801</v>
      </c>
      <c r="C151" s="12">
        <f t="shared" si="16"/>
        <v>0.29304461076044941</v>
      </c>
      <c r="D151" s="12">
        <f t="shared" si="17"/>
        <v>1.9262288517284906E-3</v>
      </c>
      <c r="E151" s="13">
        <f t="shared" si="18"/>
        <v>-0.77639000083368359</v>
      </c>
      <c r="F151" s="12">
        <f t="shared" si="19"/>
        <v>-0.55189250406987433</v>
      </c>
      <c r="G151" s="12">
        <f t="shared" si="20"/>
        <v>0.34450113831707629</v>
      </c>
      <c r="H151" s="12">
        <f t="shared" si="21"/>
        <v>0.11868103430176133</v>
      </c>
      <c r="I151" s="15">
        <f t="shared" si="22"/>
        <v>166.11161080240316</v>
      </c>
    </row>
    <row r="152" spans="1:9" x14ac:dyDescent="0.25">
      <c r="A152" s="3">
        <v>145</v>
      </c>
      <c r="B152" s="3">
        <v>0.29164149212347601</v>
      </c>
      <c r="C152" s="12">
        <f t="shared" si="16"/>
        <v>0.32248344629871872</v>
      </c>
      <c r="D152" s="12">
        <f t="shared" si="17"/>
        <v>2.3389179520266028E-3</v>
      </c>
      <c r="E152" s="13">
        <f t="shared" si="18"/>
        <v>-0.24073039009035099</v>
      </c>
      <c r="F152" s="12">
        <f t="shared" si="19"/>
        <v>2.9616666537372882E-2</v>
      </c>
      <c r="G152" s="12">
        <f t="shared" si="20"/>
        <v>0.26202482558610313</v>
      </c>
      <c r="H152" s="12">
        <f t="shared" si="21"/>
        <v>6.8657009223427767E-2</v>
      </c>
      <c r="I152" s="15">
        <f t="shared" si="22"/>
        <v>89.844837810377925</v>
      </c>
    </row>
    <row r="153" spans="1:9" x14ac:dyDescent="0.25">
      <c r="A153" s="4">
        <v>146</v>
      </c>
      <c r="B153" s="3">
        <v>0.55407906885024405</v>
      </c>
      <c r="C153" s="12">
        <f t="shared" si="16"/>
        <v>0.32496645660928847</v>
      </c>
      <c r="D153" s="12">
        <f t="shared" si="17"/>
        <v>2.3410793374047502E-3</v>
      </c>
      <c r="E153" s="13">
        <f t="shared" si="18"/>
        <v>0.22801335908379394</v>
      </c>
      <c r="F153" s="12">
        <f t="shared" si="19"/>
        <v>0.55270676067364322</v>
      </c>
      <c r="G153" s="12">
        <f t="shared" si="20"/>
        <v>1.3723081766008338E-3</v>
      </c>
      <c r="H153" s="12">
        <f t="shared" si="21"/>
        <v>1.8832297315655052E-6</v>
      </c>
      <c r="I153" s="15">
        <f t="shared" si="22"/>
        <v>0.24767370827569377</v>
      </c>
    </row>
    <row r="154" spans="1:9" x14ac:dyDescent="0.25">
      <c r="A154" s="3">
        <v>147</v>
      </c>
      <c r="B154" s="3">
        <v>-0.53749527964922295</v>
      </c>
      <c r="C154" s="12">
        <f t="shared" si="16"/>
        <v>0.21541379061854127</v>
      </c>
      <c r="D154" s="12">
        <f t="shared" si="17"/>
        <v>6.6267315748247077E-4</v>
      </c>
      <c r="E154" s="13">
        <f t="shared" si="18"/>
        <v>0.10070699974635859</v>
      </c>
      <c r="F154" s="12">
        <f t="shared" si="19"/>
        <v>0.52815943776174779</v>
      </c>
      <c r="G154" s="12">
        <f t="shared" si="20"/>
        <v>1.0656547174109707</v>
      </c>
      <c r="H154" s="12">
        <f t="shared" si="21"/>
        <v>1.1356199767402559</v>
      </c>
      <c r="I154" s="15">
        <f t="shared" si="22"/>
        <v>198.26308393004533</v>
      </c>
    </row>
    <row r="155" spans="1:9" x14ac:dyDescent="0.25">
      <c r="A155" s="4">
        <v>148</v>
      </c>
      <c r="B155" s="3">
        <v>0.24684914284833701</v>
      </c>
      <c r="C155" s="12">
        <f t="shared" si="16"/>
        <v>0.26444551593388149</v>
      </c>
      <c r="D155" s="12">
        <f t="shared" si="17"/>
        <v>1.388208939850337E-3</v>
      </c>
      <c r="E155" s="13">
        <f t="shared" si="18"/>
        <v>-0.38659465884504918</v>
      </c>
      <c r="F155" s="12">
        <f t="shared" si="19"/>
        <v>-0.21380849675030811</v>
      </c>
      <c r="G155" s="12">
        <f t="shared" si="20"/>
        <v>0.46065763959864514</v>
      </c>
      <c r="H155" s="12">
        <f t="shared" si="21"/>
        <v>0.21220546092059522</v>
      </c>
      <c r="I155" s="15">
        <f t="shared" si="22"/>
        <v>186.61504523905563</v>
      </c>
    </row>
    <row r="156" spans="1:9" x14ac:dyDescent="0.25">
      <c r="A156" s="3">
        <v>149</v>
      </c>
      <c r="B156" s="3">
        <v>0.13578005656334899</v>
      </c>
      <c r="C156" s="12">
        <f t="shared" si="16"/>
        <v>0.26509498447228164</v>
      </c>
      <c r="D156" s="12">
        <f t="shared" si="17"/>
        <v>1.377127833828584E-3</v>
      </c>
      <c r="E156" s="13">
        <f t="shared" si="18"/>
        <v>-0.1236792180987267</v>
      </c>
      <c r="F156" s="12">
        <f t="shared" si="19"/>
        <v>0.14281567943430301</v>
      </c>
      <c r="G156" s="12">
        <f t="shared" si="20"/>
        <v>7.0356228709540225E-3</v>
      </c>
      <c r="H156" s="12">
        <f t="shared" si="21"/>
        <v>4.9499989182291323E-5</v>
      </c>
      <c r="I156" s="15">
        <f t="shared" si="22"/>
        <v>5.1816320076958506</v>
      </c>
    </row>
    <row r="157" spans="1:9" x14ac:dyDescent="0.25">
      <c r="A157" s="4">
        <v>150</v>
      </c>
      <c r="B157" s="3">
        <v>0.79810274717296703</v>
      </c>
      <c r="C157" s="12">
        <f t="shared" si="16"/>
        <v>0.27813597577049903</v>
      </c>
      <c r="D157" s="12">
        <f t="shared" si="17"/>
        <v>1.5520857857944162E-3</v>
      </c>
      <c r="E157" s="13">
        <f t="shared" si="18"/>
        <v>0.43098537872092463</v>
      </c>
      <c r="F157" s="12">
        <f t="shared" si="19"/>
        <v>0.68701833322640682</v>
      </c>
      <c r="G157" s="12">
        <f t="shared" si="20"/>
        <v>0.11108441394656021</v>
      </c>
      <c r="H157" s="12">
        <f t="shared" si="21"/>
        <v>1.2339747021850742E-2</v>
      </c>
      <c r="I157" s="15">
        <f t="shared" si="22"/>
        <v>13.918560528709181</v>
      </c>
    </row>
    <row r="158" spans="1:9" x14ac:dyDescent="0.25">
      <c r="A158" s="3">
        <v>151</v>
      </c>
      <c r="B158" s="3">
        <v>2.3993706666480898E-2</v>
      </c>
      <c r="C158" s="12">
        <f t="shared" si="16"/>
        <v>0.2943669010498926</v>
      </c>
      <c r="D158" s="12">
        <f t="shared" si="17"/>
        <v>1.7722683781984036E-3</v>
      </c>
      <c r="E158" s="13">
        <f t="shared" si="18"/>
        <v>-0.38235526491065253</v>
      </c>
      <c r="F158" s="12">
        <f t="shared" si="19"/>
        <v>-0.11580476470113032</v>
      </c>
      <c r="G158" s="12">
        <f t="shared" si="20"/>
        <v>0.13979847136761123</v>
      </c>
      <c r="H158" s="12">
        <f t="shared" si="21"/>
        <v>1.9543612596720817E-2</v>
      </c>
      <c r="I158" s="15">
        <f t="shared" si="22"/>
        <v>582.6464135402183</v>
      </c>
    </row>
    <row r="159" spans="1:9" x14ac:dyDescent="0.25">
      <c r="A159" s="4">
        <v>152</v>
      </c>
      <c r="B159" s="3">
        <v>-3.0056695988207899E-2</v>
      </c>
      <c r="C159" s="12">
        <f t="shared" si="16"/>
        <v>0.26010528389553994</v>
      </c>
      <c r="D159" s="12">
        <f t="shared" si="17"/>
        <v>1.2317600952101374E-3</v>
      </c>
      <c r="E159" s="13">
        <f t="shared" si="18"/>
        <v>-1.5266330753160405E-2</v>
      </c>
      <c r="F159" s="12">
        <f t="shared" si="19"/>
        <v>0.31312316622656372</v>
      </c>
      <c r="G159" s="12">
        <f t="shared" si="20"/>
        <v>0.34317986221477159</v>
      </c>
      <c r="H159" s="12">
        <f t="shared" si="21"/>
        <v>0.11777241782974962</v>
      </c>
      <c r="I159" s="15">
        <f t="shared" si="22"/>
        <v>1141.7750718489181</v>
      </c>
    </row>
    <row r="160" spans="1:9" x14ac:dyDescent="0.25">
      <c r="A160" s="3">
        <v>153</v>
      </c>
      <c r="B160" s="3">
        <v>1.9948116865732099E-2</v>
      </c>
      <c r="C160" s="12">
        <f t="shared" si="16"/>
        <v>0.25046696218266862</v>
      </c>
      <c r="D160" s="12">
        <f t="shared" si="17"/>
        <v>1.0687088680889154E-3</v>
      </c>
      <c r="E160" s="13">
        <f t="shared" si="18"/>
        <v>-0.14759306169485603</v>
      </c>
      <c r="F160" s="12">
        <f t="shared" si="19"/>
        <v>0.12347270551412695</v>
      </c>
      <c r="G160" s="12">
        <f t="shared" si="20"/>
        <v>0.10352458864839485</v>
      </c>
      <c r="H160" s="12">
        <f t="shared" si="21"/>
        <v>1.0717340454819365E-2</v>
      </c>
      <c r="I160" s="15">
        <f t="shared" si="22"/>
        <v>518.96923075598545</v>
      </c>
    </row>
    <row r="161" spans="1:9" x14ac:dyDescent="0.25">
      <c r="A161" s="4">
        <v>154</v>
      </c>
      <c r="B161" s="3">
        <v>0.584647275220332</v>
      </c>
      <c r="C161" s="12">
        <f t="shared" si="16"/>
        <v>0.30631118283194514</v>
      </c>
      <c r="D161" s="12">
        <f t="shared" si="17"/>
        <v>1.8903415448067295E-3</v>
      </c>
      <c r="E161" s="13">
        <f t="shared" si="18"/>
        <v>-0.13953585355947767</v>
      </c>
      <c r="F161" s="12">
        <f t="shared" si="19"/>
        <v>6.2975734447116988E-2</v>
      </c>
      <c r="G161" s="12">
        <f t="shared" si="20"/>
        <v>0.52167154077321498</v>
      </c>
      <c r="H161" s="12">
        <f t="shared" si="21"/>
        <v>0.27214119645270007</v>
      </c>
      <c r="I161" s="15">
        <f t="shared" si="22"/>
        <v>89.228422483730256</v>
      </c>
    </row>
    <row r="162" spans="1:9" x14ac:dyDescent="0.25">
      <c r="A162" s="3">
        <v>155</v>
      </c>
      <c r="B162" s="3">
        <v>2.06556956462288</v>
      </c>
      <c r="C162" s="12">
        <f t="shared" si="16"/>
        <v>0.36216174773864307</v>
      </c>
      <c r="D162" s="12">
        <f t="shared" si="17"/>
        <v>2.6997448952350974E-3</v>
      </c>
      <c r="E162" s="13">
        <f t="shared" si="18"/>
        <v>1.2917555509941523</v>
      </c>
      <c r="F162" s="12">
        <f t="shared" si="19"/>
        <v>1.5516626754620115</v>
      </c>
      <c r="G162" s="12">
        <f t="shared" si="20"/>
        <v>0.51390688916086846</v>
      </c>
      <c r="H162" s="12">
        <f t="shared" si="21"/>
        <v>0.26410029072700114</v>
      </c>
      <c r="I162" s="15">
        <f t="shared" si="22"/>
        <v>24.879669896505987</v>
      </c>
    </row>
    <row r="163" spans="1:9" x14ac:dyDescent="0.25">
      <c r="A163" s="4">
        <v>156</v>
      </c>
      <c r="B163" s="3">
        <v>-0.74188050778390102</v>
      </c>
      <c r="C163" s="12">
        <f t="shared" si="16"/>
        <v>0.33017453267754815</v>
      </c>
      <c r="D163" s="12">
        <f t="shared" si="17"/>
        <v>2.179440495890147E-3</v>
      </c>
      <c r="E163" s="13">
        <f t="shared" si="18"/>
        <v>-0.80743482999459892</v>
      </c>
      <c r="F163" s="12">
        <f t="shared" si="19"/>
        <v>-0.41152850819980541</v>
      </c>
      <c r="G163" s="12">
        <f t="shared" si="20"/>
        <v>0.33035199958409561</v>
      </c>
      <c r="H163" s="12">
        <f t="shared" si="21"/>
        <v>0.1091324436292103</v>
      </c>
      <c r="I163" s="15">
        <f t="shared" si="22"/>
        <v>44.529003810991398</v>
      </c>
    </row>
    <row r="164" spans="1:9" x14ac:dyDescent="0.25">
      <c r="A164" s="3">
        <v>157</v>
      </c>
      <c r="B164" s="3">
        <v>0.20993154155025601</v>
      </c>
      <c r="C164" s="12">
        <f t="shared" si="16"/>
        <v>0.34477630881249099</v>
      </c>
      <c r="D164" s="12">
        <f t="shared" si="17"/>
        <v>2.3657755304759376E-3</v>
      </c>
      <c r="E164" s="13">
        <f t="shared" si="18"/>
        <v>-0.22961239969339883</v>
      </c>
      <c r="F164" s="12">
        <f t="shared" si="19"/>
        <v>9.1623583083087295E-2</v>
      </c>
      <c r="G164" s="12">
        <f t="shared" si="20"/>
        <v>0.11830795846716871</v>
      </c>
      <c r="H164" s="12">
        <f t="shared" si="21"/>
        <v>1.3996773036669317E-2</v>
      </c>
      <c r="I164" s="15">
        <f t="shared" si="22"/>
        <v>56.355494554803087</v>
      </c>
    </row>
    <row r="165" spans="1:9" x14ac:dyDescent="0.25">
      <c r="A165" s="4">
        <v>158</v>
      </c>
      <c r="B165" s="3">
        <v>-8.46275681340425E-2</v>
      </c>
      <c r="C165" s="12">
        <f t="shared" si="16"/>
        <v>0.27786486812908262</v>
      </c>
      <c r="D165" s="12">
        <f t="shared" si="17"/>
        <v>1.3266172872676732E-3</v>
      </c>
      <c r="E165" s="13">
        <f t="shared" si="18"/>
        <v>0.16601025057236746</v>
      </c>
      <c r="F165" s="12">
        <f t="shared" si="19"/>
        <v>0.57515544342676095</v>
      </c>
      <c r="G165" s="12">
        <f t="shared" si="20"/>
        <v>0.65978301156080343</v>
      </c>
      <c r="H165" s="12">
        <f t="shared" si="21"/>
        <v>0.43531362234424326</v>
      </c>
      <c r="I165" s="15">
        <f t="shared" si="22"/>
        <v>779.63130231482739</v>
      </c>
    </row>
    <row r="166" spans="1:9" x14ac:dyDescent="0.25">
      <c r="A166" s="3">
        <v>159</v>
      </c>
      <c r="B166" s="3">
        <v>0.33473899873149898</v>
      </c>
      <c r="C166" s="12">
        <f t="shared" si="16"/>
        <v>0.27444973934107325</v>
      </c>
      <c r="D166" s="12">
        <f t="shared" si="17"/>
        <v>1.2554910961385176E-3</v>
      </c>
      <c r="E166" s="13">
        <f t="shared" si="18"/>
        <v>9.6463137008985636E-2</v>
      </c>
      <c r="F166" s="12">
        <f t="shared" si="19"/>
        <v>0.37989848516270891</v>
      </c>
      <c r="G166" s="12">
        <f t="shared" si="20"/>
        <v>4.5159486431209928E-2</v>
      </c>
      <c r="H166" s="12">
        <f t="shared" si="21"/>
        <v>2.0393792147306335E-3</v>
      </c>
      <c r="I166" s="15">
        <f t="shared" si="22"/>
        <v>13.490954625049016</v>
      </c>
    </row>
    <row r="167" spans="1:9" x14ac:dyDescent="0.25">
      <c r="A167" s="4">
        <v>160</v>
      </c>
      <c r="B167" s="3">
        <v>-3.8279686503122697E-2</v>
      </c>
      <c r="C167" s="12">
        <f t="shared" si="16"/>
        <v>0.28332925333720682</v>
      </c>
      <c r="D167" s="12">
        <f t="shared" si="17"/>
        <v>1.3698514396384433E-3</v>
      </c>
      <c r="E167" s="13">
        <f t="shared" si="18"/>
        <v>-0.37977115834955361</v>
      </c>
      <c r="F167" s="12">
        <f t="shared" si="19"/>
        <v>-0.11088942840783739</v>
      </c>
      <c r="G167" s="12">
        <f t="shared" si="20"/>
        <v>7.2609741904714697E-2</v>
      </c>
      <c r="H167" s="12">
        <f t="shared" si="21"/>
        <v>5.2721746194692816E-3</v>
      </c>
      <c r="I167" s="15">
        <f t="shared" si="22"/>
        <v>189.68217490180203</v>
      </c>
    </row>
    <row r="168" spans="1:9" x14ac:dyDescent="0.25">
      <c r="A168" s="3">
        <v>161</v>
      </c>
      <c r="B168" s="3">
        <v>6.7801613997732699E-2</v>
      </c>
      <c r="C168" s="12">
        <f t="shared" si="16"/>
        <v>0.27491118614540477</v>
      </c>
      <c r="D168" s="12">
        <f t="shared" si="17"/>
        <v>1.2230326601668359E-3</v>
      </c>
      <c r="E168" s="13">
        <f t="shared" si="18"/>
        <v>-0.13243940527386597</v>
      </c>
      <c r="F168" s="12">
        <f t="shared" si="19"/>
        <v>0.16101988667811859</v>
      </c>
      <c r="G168" s="12">
        <f t="shared" si="20"/>
        <v>9.3218272680385891E-2</v>
      </c>
      <c r="H168" s="12">
        <f t="shared" si="21"/>
        <v>8.6896463615147787E-3</v>
      </c>
      <c r="I168" s="15">
        <f t="shared" si="22"/>
        <v>137.48680478830951</v>
      </c>
    </row>
    <row r="169" spans="1:9" x14ac:dyDescent="0.25">
      <c r="A169" s="4">
        <v>162</v>
      </c>
      <c r="B169" s="3">
        <v>0.68732715631996499</v>
      </c>
      <c r="C169" s="12">
        <f t="shared" si="16"/>
        <v>0.27405601247888584</v>
      </c>
      <c r="D169" s="12">
        <f t="shared" si="17"/>
        <v>1.1918595652665493E-3</v>
      </c>
      <c r="E169" s="13">
        <f t="shared" si="18"/>
        <v>0.42912538405854084</v>
      </c>
      <c r="F169" s="12">
        <f t="shared" si="19"/>
        <v>0.70711959752649622</v>
      </c>
      <c r="G169" s="12">
        <f t="shared" si="20"/>
        <v>1.9792441206531231E-2</v>
      </c>
      <c r="H169" s="12">
        <f t="shared" si="21"/>
        <v>3.9174072891399542E-4</v>
      </c>
      <c r="I169" s="15">
        <f t="shared" si="22"/>
        <v>2.8796245026171263</v>
      </c>
    </row>
    <row r="170" spans="1:9" x14ac:dyDescent="0.25">
      <c r="A170" s="3">
        <v>163</v>
      </c>
      <c r="B170" s="3">
        <v>-0.42405194296123699</v>
      </c>
      <c r="C170" s="12">
        <f t="shared" si="16"/>
        <v>0.24196869428420503</v>
      </c>
      <c r="D170" s="12">
        <f t="shared" si="17"/>
        <v>6.9267189886733902E-4</v>
      </c>
      <c r="E170" s="13">
        <f t="shared" si="18"/>
        <v>-0.41214012900580543</v>
      </c>
      <c r="F170" s="12">
        <f t="shared" si="19"/>
        <v>-0.10710739286650012</v>
      </c>
      <c r="G170" s="12">
        <f t="shared" si="20"/>
        <v>0.31694455009473688</v>
      </c>
      <c r="H170" s="12">
        <f t="shared" si="21"/>
        <v>0.10045384783475517</v>
      </c>
      <c r="I170" s="15">
        <f t="shared" si="22"/>
        <v>74.741916728750638</v>
      </c>
    </row>
    <row r="171" spans="1:9" x14ac:dyDescent="0.25">
      <c r="A171" s="4">
        <v>164</v>
      </c>
      <c r="B171" s="3">
        <v>-4.55760908053805E-3</v>
      </c>
      <c r="C171" s="12">
        <f t="shared" si="16"/>
        <v>0.21830633850947515</v>
      </c>
      <c r="D171" s="12">
        <f t="shared" si="17"/>
        <v>3.273464837633806E-4</v>
      </c>
      <c r="E171" s="13">
        <f t="shared" si="18"/>
        <v>-3.7064080521029948E-2</v>
      </c>
      <c r="F171" s="12">
        <f t="shared" si="19"/>
        <v>0.22739503542991196</v>
      </c>
      <c r="G171" s="12">
        <f t="shared" si="20"/>
        <v>0.23195264451045</v>
      </c>
      <c r="H171" s="12">
        <f t="shared" si="21"/>
        <v>5.3802029295391192E-2</v>
      </c>
      <c r="I171" s="15">
        <f t="shared" si="22"/>
        <v>5089.3492708915428</v>
      </c>
    </row>
    <row r="172" spans="1:9" x14ac:dyDescent="0.25">
      <c r="A172" s="3">
        <v>165</v>
      </c>
      <c r="B172" s="3">
        <v>1.38919889603704E-2</v>
      </c>
      <c r="C172" s="12">
        <f t="shared" si="16"/>
        <v>0.21263307838774725</v>
      </c>
      <c r="D172" s="12">
        <f t="shared" si="17"/>
        <v>2.3733738468101153E-4</v>
      </c>
      <c r="E172" s="13">
        <f t="shared" si="18"/>
        <v>-0.15296360460677072</v>
      </c>
      <c r="F172" s="12">
        <f t="shared" si="19"/>
        <v>7.1040623298382483E-2</v>
      </c>
      <c r="G172" s="12">
        <f t="shared" si="20"/>
        <v>5.714863433801208E-2</v>
      </c>
      <c r="H172" s="12">
        <f t="shared" si="21"/>
        <v>3.2659664066998135E-3</v>
      </c>
      <c r="I172" s="15">
        <f t="shared" si="22"/>
        <v>411.37834546975</v>
      </c>
    </row>
    <row r="173" spans="1:9" x14ac:dyDescent="0.25">
      <c r="A173" s="4">
        <v>166</v>
      </c>
      <c r="B173" s="3">
        <v>0.19883958224748499</v>
      </c>
      <c r="C173" s="12">
        <f t="shared" si="16"/>
        <v>0.22604844287605436</v>
      </c>
      <c r="D173" s="12">
        <f t="shared" si="17"/>
        <v>4.3500779123540289E-4</v>
      </c>
      <c r="E173" s="13">
        <f t="shared" si="18"/>
        <v>-0.1277415193017323</v>
      </c>
      <c r="F173" s="12">
        <f t="shared" si="19"/>
        <v>7.3334562212950594E-2</v>
      </c>
      <c r="G173" s="12">
        <f t="shared" si="20"/>
        <v>0.1255050200345344</v>
      </c>
      <c r="H173" s="12">
        <f t="shared" si="21"/>
        <v>1.5751510053868881E-2</v>
      </c>
      <c r="I173" s="15">
        <f t="shared" si="22"/>
        <v>63.118730494175459</v>
      </c>
    </row>
    <row r="174" spans="1:9" x14ac:dyDescent="0.25">
      <c r="A174" s="3">
        <v>167</v>
      </c>
      <c r="B174" s="3">
        <v>2.3099686120234799</v>
      </c>
      <c r="C174" s="12">
        <f t="shared" si="16"/>
        <v>0.30961505975530373</v>
      </c>
      <c r="D174" s="12">
        <f t="shared" si="17"/>
        <v>1.6819819275556123E-3</v>
      </c>
      <c r="E174" s="13">
        <f t="shared" si="18"/>
        <v>1.366158341127925</v>
      </c>
      <c r="F174" s="12">
        <f t="shared" si="19"/>
        <v>1.518239001661442</v>
      </c>
      <c r="G174" s="12">
        <f t="shared" si="20"/>
        <v>0.79172961036203793</v>
      </c>
      <c r="H174" s="12">
        <f t="shared" si="21"/>
        <v>0.6268357759240244</v>
      </c>
      <c r="I174" s="15">
        <f t="shared" si="22"/>
        <v>34.27447482364277</v>
      </c>
    </row>
    <row r="175" spans="1:9" x14ac:dyDescent="0.25">
      <c r="A175" s="4">
        <v>168</v>
      </c>
      <c r="B175" s="3">
        <v>-0.76371947740401203</v>
      </c>
      <c r="C175" s="12">
        <f t="shared" si="16"/>
        <v>0.28320096432817077</v>
      </c>
      <c r="D175" s="12">
        <f t="shared" si="17"/>
        <v>1.2605407672352836E-3</v>
      </c>
      <c r="E175" s="13">
        <f t="shared" si="18"/>
        <v>-0.8325808192270453</v>
      </c>
      <c r="F175" s="12">
        <f t="shared" si="19"/>
        <v>-0.4961377883117396</v>
      </c>
      <c r="G175" s="12">
        <f t="shared" si="20"/>
        <v>0.26758168909227242</v>
      </c>
      <c r="H175" s="12">
        <f t="shared" si="21"/>
        <v>7.1599960337473539E-2</v>
      </c>
      <c r="I175" s="15">
        <f t="shared" si="22"/>
        <v>35.036645916353933</v>
      </c>
    </row>
    <row r="176" spans="1:9" x14ac:dyDescent="0.25">
      <c r="A176" s="3">
        <v>169</v>
      </c>
      <c r="B176" s="3">
        <v>-0.36579887407174599</v>
      </c>
      <c r="C176" s="12">
        <f t="shared" si="16"/>
        <v>0.24029346725066197</v>
      </c>
      <c r="D176" s="12">
        <f t="shared" si="17"/>
        <v>5.980201995641226E-4</v>
      </c>
      <c r="E176" s="13">
        <f t="shared" si="18"/>
        <v>-0.26914279356444482</v>
      </c>
      <c r="F176" s="12">
        <f t="shared" si="19"/>
        <v>5.4849105402007242E-2</v>
      </c>
      <c r="G176" s="12">
        <f t="shared" si="20"/>
        <v>0.42064797947375321</v>
      </c>
      <c r="H176" s="12">
        <f t="shared" si="21"/>
        <v>0.1769447226353511</v>
      </c>
      <c r="I176" s="15">
        <f t="shared" si="22"/>
        <v>114.99433412450837</v>
      </c>
    </row>
    <row r="177" spans="1:9" x14ac:dyDescent="0.25">
      <c r="A177" s="4">
        <v>170</v>
      </c>
      <c r="B177" s="3">
        <v>0.213801537842922</v>
      </c>
      <c r="C177" s="12">
        <f t="shared" si="16"/>
        <v>0.22061596643136058</v>
      </c>
      <c r="D177" s="12">
        <f t="shared" si="17"/>
        <v>2.9388738428113984E-4</v>
      </c>
      <c r="E177" s="13">
        <f t="shared" si="18"/>
        <v>0.14786365926048284</v>
      </c>
      <c r="F177" s="12">
        <f t="shared" si="19"/>
        <v>0.40690173802259355</v>
      </c>
      <c r="G177" s="12">
        <f t="shared" si="20"/>
        <v>0.19310020017967156</v>
      </c>
      <c r="H177" s="12">
        <f t="shared" si="21"/>
        <v>3.7287687309429225E-2</v>
      </c>
      <c r="I177" s="15">
        <f t="shared" si="22"/>
        <v>90.317498240606895</v>
      </c>
    </row>
    <row r="178" spans="1:9" x14ac:dyDescent="0.25">
      <c r="A178" s="3">
        <v>171</v>
      </c>
      <c r="B178" s="3">
        <v>0.47508996497669498</v>
      </c>
      <c r="C178" s="12">
        <f t="shared" si="16"/>
        <v>0.23747013610160883</v>
      </c>
      <c r="D178" s="12">
        <f t="shared" si="17"/>
        <v>5.4229161857064639E-4</v>
      </c>
      <c r="E178" s="13">
        <f t="shared" si="18"/>
        <v>0.1112845896549262</v>
      </c>
      <c r="F178" s="12">
        <f t="shared" si="19"/>
        <v>0.31737299082462733</v>
      </c>
      <c r="G178" s="12">
        <f t="shared" si="20"/>
        <v>0.15771697415206765</v>
      </c>
      <c r="H178" s="12">
        <f t="shared" si="21"/>
        <v>2.4874643935683973E-2</v>
      </c>
      <c r="I178" s="15">
        <f t="shared" si="22"/>
        <v>33.19728594136992</v>
      </c>
    </row>
    <row r="179" spans="1:9" x14ac:dyDescent="0.25">
      <c r="A179" s="4">
        <v>172</v>
      </c>
      <c r="B179" s="3">
        <v>0.41739747141698202</v>
      </c>
      <c r="C179" s="12">
        <f t="shared" si="16"/>
        <v>0.2967238289350469</v>
      </c>
      <c r="D179" s="12">
        <f t="shared" si="17"/>
        <v>1.4229626367936576E-3</v>
      </c>
      <c r="E179" s="13">
        <f t="shared" si="18"/>
        <v>-0.32722445426224728</v>
      </c>
      <c r="F179" s="12">
        <f t="shared" si="19"/>
        <v>-0.14175873062937414</v>
      </c>
      <c r="G179" s="12">
        <f t="shared" si="20"/>
        <v>0.55915620204635619</v>
      </c>
      <c r="H179" s="12">
        <f t="shared" si="21"/>
        <v>0.3126556582869055</v>
      </c>
      <c r="I179" s="15">
        <f t="shared" si="22"/>
        <v>133.96252740778024</v>
      </c>
    </row>
    <row r="180" spans="1:9" x14ac:dyDescent="0.25">
      <c r="A180" s="3">
        <v>173</v>
      </c>
      <c r="B180" s="3">
        <v>0.102490173520967</v>
      </c>
      <c r="C180" s="12">
        <f t="shared" si="16"/>
        <v>0.29150898423025473</v>
      </c>
      <c r="D180" s="12">
        <f t="shared" si="17"/>
        <v>1.3233955266698703E-3</v>
      </c>
      <c r="E180" s="13">
        <f t="shared" si="18"/>
        <v>-0.13838024284458525</v>
      </c>
      <c r="F180" s="12">
        <f t="shared" si="19"/>
        <v>0.16570738629797457</v>
      </c>
      <c r="G180" s="12">
        <f t="shared" si="20"/>
        <v>6.3217212777007578E-2</v>
      </c>
      <c r="H180" s="12">
        <f t="shared" si="21"/>
        <v>3.9964159912934498E-3</v>
      </c>
      <c r="I180" s="15">
        <f t="shared" si="22"/>
        <v>61.681242801364633</v>
      </c>
    </row>
    <row r="181" spans="1:9" x14ac:dyDescent="0.25">
      <c r="A181" s="4">
        <v>174</v>
      </c>
      <c r="B181" s="3">
        <v>1.3477565384143799</v>
      </c>
      <c r="C181" s="12">
        <f t="shared" si="16"/>
        <v>0.35854125108981066</v>
      </c>
      <c r="D181" s="12">
        <f t="shared" si="17"/>
        <v>2.309028596663161E-3</v>
      </c>
      <c r="E181" s="13">
        <f t="shared" si="18"/>
        <v>0.48793482390147386</v>
      </c>
      <c r="F181" s="12">
        <f t="shared" si="19"/>
        <v>0.7219577638154655</v>
      </c>
      <c r="G181" s="12">
        <f t="shared" si="20"/>
        <v>0.62579877459891442</v>
      </c>
      <c r="H181" s="12">
        <f t="shared" si="21"/>
        <v>0.39162410628950289</v>
      </c>
      <c r="I181" s="15">
        <f t="shared" si="22"/>
        <v>46.432627612043305</v>
      </c>
    </row>
    <row r="182" spans="1:9" x14ac:dyDescent="0.25">
      <c r="A182" s="3">
        <v>175</v>
      </c>
      <c r="B182" s="3">
        <v>-0.58845087618095104</v>
      </c>
      <c r="C182" s="12">
        <f t="shared" si="16"/>
        <v>0.30444837186600376</v>
      </c>
      <c r="D182" s="12">
        <f t="shared" si="17"/>
        <v>1.4629999793561101E-3</v>
      </c>
      <c r="E182" s="13">
        <f t="shared" si="18"/>
        <v>-0.46261983650512611</v>
      </c>
      <c r="F182" s="12">
        <f t="shared" si="19"/>
        <v>-5.1289849319331615E-2</v>
      </c>
      <c r="G182" s="12">
        <f t="shared" si="20"/>
        <v>0.53716102686161937</v>
      </c>
      <c r="H182" s="12">
        <f t="shared" si="21"/>
        <v>0.28854196877902938</v>
      </c>
      <c r="I182" s="15">
        <f t="shared" si="22"/>
        <v>91.283919967593036</v>
      </c>
    </row>
    <row r="183" spans="1:9" x14ac:dyDescent="0.25">
      <c r="A183" s="4">
        <v>176</v>
      </c>
      <c r="B183" s="3">
        <v>-0.18470517245664</v>
      </c>
      <c r="C183" s="12">
        <f t="shared" si="16"/>
        <v>0.25828836314835807</v>
      </c>
      <c r="D183" s="12">
        <f t="shared" si="17"/>
        <v>7.4865484890108296E-4</v>
      </c>
      <c r="E183" s="13">
        <f t="shared" si="18"/>
        <v>-7.9686673304846606E-2</v>
      </c>
      <c r="F183" s="12">
        <f t="shared" si="19"/>
        <v>0.26884729132432994</v>
      </c>
      <c r="G183" s="12">
        <f t="shared" si="20"/>
        <v>0.45355246378096992</v>
      </c>
      <c r="H183" s="12">
        <f t="shared" si="21"/>
        <v>0.20570983740178803</v>
      </c>
      <c r="I183" s="15">
        <f t="shared" si="22"/>
        <v>245.55482542723186</v>
      </c>
    </row>
    <row r="184" spans="1:9" x14ac:dyDescent="0.25">
      <c r="A184" s="3">
        <v>177</v>
      </c>
      <c r="B184" s="3">
        <v>3.9758687298203199E-2</v>
      </c>
      <c r="C184" s="12">
        <f t="shared" si="16"/>
        <v>0.25207397175756918</v>
      </c>
      <c r="D184" s="12">
        <f t="shared" si="17"/>
        <v>6.4420915530573341E-4</v>
      </c>
      <c r="E184" s="13">
        <f t="shared" si="18"/>
        <v>-0.15919553099129324</v>
      </c>
      <c r="F184" s="12">
        <f t="shared" si="19"/>
        <v>0.10607341339048842</v>
      </c>
      <c r="G184" s="12">
        <f t="shared" si="20"/>
        <v>6.6314726092285226E-2</v>
      </c>
      <c r="H184" s="12">
        <f t="shared" si="21"/>
        <v>4.397642896694815E-3</v>
      </c>
      <c r="I184" s="15">
        <f t="shared" si="22"/>
        <v>166.79304725254892</v>
      </c>
    </row>
    <row r="185" spans="1:9" x14ac:dyDescent="0.25">
      <c r="A185" s="4">
        <v>178</v>
      </c>
      <c r="B185" s="3">
        <v>-3.8137934662401902E-2</v>
      </c>
      <c r="C185" s="12">
        <f t="shared" si="16"/>
        <v>0.23559114830415273</v>
      </c>
      <c r="D185" s="12">
        <f t="shared" si="17"/>
        <v>3.8730366617490065E-4</v>
      </c>
      <c r="E185" s="13">
        <f t="shared" si="18"/>
        <v>-0.14307021348653864</v>
      </c>
      <c r="F185" s="12">
        <f t="shared" si="19"/>
        <v>0.1249766616111426</v>
      </c>
      <c r="G185" s="12">
        <f t="shared" si="20"/>
        <v>0.16311459627354449</v>
      </c>
      <c r="H185" s="12">
        <f t="shared" si="21"/>
        <v>2.6606371517481416E-2</v>
      </c>
      <c r="I185" s="15">
        <f t="shared" si="22"/>
        <v>427.69645948958595</v>
      </c>
    </row>
    <row r="186" spans="1:9" x14ac:dyDescent="0.25">
      <c r="A186" s="3">
        <v>179</v>
      </c>
      <c r="B186" s="3">
        <v>2.2575039710417801</v>
      </c>
      <c r="C186" s="12">
        <f t="shared" si="16"/>
        <v>0.30479200565439801</v>
      </c>
      <c r="D186" s="12">
        <f t="shared" si="17"/>
        <v>1.4195069714359563E-3</v>
      </c>
      <c r="E186" s="13">
        <f t="shared" si="18"/>
        <v>1.427746471675168</v>
      </c>
      <c r="F186" s="12">
        <f t="shared" si="19"/>
        <v>1.6021367930982526</v>
      </c>
      <c r="G186" s="12">
        <f t="shared" si="20"/>
        <v>0.6553671779435275</v>
      </c>
      <c r="H186" s="12">
        <f t="shared" si="21"/>
        <v>0.42950613792566322</v>
      </c>
      <c r="I186" s="15">
        <f t="shared" si="22"/>
        <v>29.030610193836885</v>
      </c>
    </row>
    <row r="187" spans="1:9" x14ac:dyDescent="0.25">
      <c r="A187" s="4">
        <v>180</v>
      </c>
      <c r="B187" s="3">
        <v>-1.0386431602601101</v>
      </c>
      <c r="C187" s="12">
        <f t="shared" si="16"/>
        <v>0.25242275799164959</v>
      </c>
      <c r="D187" s="12">
        <f t="shared" si="17"/>
        <v>6.1267565192319069E-4</v>
      </c>
      <c r="E187" s="13">
        <f t="shared" si="18"/>
        <v>-0.88072175462464031</v>
      </c>
      <c r="F187" s="12">
        <f t="shared" si="19"/>
        <v>-0.5263693066012114</v>
      </c>
      <c r="G187" s="12">
        <f t="shared" si="20"/>
        <v>0.51227385365889866</v>
      </c>
      <c r="H187" s="12">
        <f t="shared" si="21"/>
        <v>0.26242450114253874</v>
      </c>
      <c r="I187" s="15">
        <f t="shared" si="22"/>
        <v>49.321448718788908</v>
      </c>
    </row>
    <row r="188" spans="1:9" x14ac:dyDescent="0.25">
      <c r="A188" s="3">
        <v>181</v>
      </c>
      <c r="B188" s="3">
        <v>0.20542413936708301</v>
      </c>
      <c r="C188" s="12">
        <f t="shared" si="16"/>
        <v>0.27629624106880807</v>
      </c>
      <c r="D188" s="12">
        <f t="shared" si="17"/>
        <v>9.6158776330171987E-4</v>
      </c>
      <c r="E188" s="13">
        <f t="shared" si="18"/>
        <v>-0.24832437091885923</v>
      </c>
      <c r="F188" s="12">
        <f t="shared" si="19"/>
        <v>-1.6107359920872033E-2</v>
      </c>
      <c r="G188" s="12">
        <f t="shared" si="20"/>
        <v>0.22153149928795504</v>
      </c>
      <c r="H188" s="12">
        <f t="shared" si="21"/>
        <v>4.9076205176769222E-2</v>
      </c>
      <c r="I188" s="15">
        <f t="shared" si="22"/>
        <v>107.84102587480673</v>
      </c>
    </row>
    <row r="189" spans="1:9" x14ac:dyDescent="0.25">
      <c r="A189" s="4">
        <v>182</v>
      </c>
      <c r="B189" s="3">
        <v>0.10012740179194</v>
      </c>
      <c r="C189" s="12">
        <f t="shared" si="16"/>
        <v>0.24313344977054127</v>
      </c>
      <c r="D189" s="12">
        <f t="shared" si="17"/>
        <v>4.4972207737819213E-4</v>
      </c>
      <c r="E189" s="13">
        <f t="shared" si="18"/>
        <v>0.117322340000379</v>
      </c>
      <c r="F189" s="12">
        <f t="shared" si="19"/>
        <v>0.42512148809259265</v>
      </c>
      <c r="G189" s="12">
        <f t="shared" si="20"/>
        <v>0.32499408630065263</v>
      </c>
      <c r="H189" s="12">
        <f t="shared" si="21"/>
        <v>0.10562115613039605</v>
      </c>
      <c r="I189" s="15">
        <f t="shared" si="22"/>
        <v>324.58056484475139</v>
      </c>
    </row>
    <row r="190" spans="1:9" x14ac:dyDescent="0.25">
      <c r="A190" s="3">
        <v>183</v>
      </c>
      <c r="B190" s="3">
        <v>-0.48265850575191699</v>
      </c>
      <c r="C190" s="12">
        <f t="shared" si="16"/>
        <v>0.1556429137861694</v>
      </c>
      <c r="D190" s="12">
        <f t="shared" si="17"/>
        <v>-8.6938179354805877E-4</v>
      </c>
      <c r="E190" s="13">
        <f t="shared" si="18"/>
        <v>3.2578058689659878E-2</v>
      </c>
      <c r="F190" s="12">
        <f t="shared" si="19"/>
        <v>0.35486776150284566</v>
      </c>
      <c r="G190" s="12">
        <f t="shared" si="20"/>
        <v>0.83752626725476265</v>
      </c>
      <c r="H190" s="12">
        <f t="shared" si="21"/>
        <v>0.70145024834169611</v>
      </c>
      <c r="I190" s="15">
        <f t="shared" si="22"/>
        <v>173.52356941270713</v>
      </c>
    </row>
    <row r="191" spans="1:9" x14ac:dyDescent="0.25">
      <c r="A191" s="4">
        <v>184</v>
      </c>
      <c r="B191" s="3">
        <v>0.20679560583798501</v>
      </c>
      <c r="C191" s="12">
        <f t="shared" si="16"/>
        <v>0.1945944174439205</v>
      </c>
      <c r="D191" s="12">
        <f t="shared" si="17"/>
        <v>-2.7206851177857144E-4</v>
      </c>
      <c r="E191" s="13">
        <f t="shared" si="18"/>
        <v>-0.29158476178333453</v>
      </c>
      <c r="F191" s="12">
        <f t="shared" si="19"/>
        <v>-0.17245092226962594</v>
      </c>
      <c r="G191" s="12">
        <f t="shared" si="20"/>
        <v>0.37924652810761095</v>
      </c>
      <c r="H191" s="12">
        <f t="shared" si="21"/>
        <v>0.14382792908167694</v>
      </c>
      <c r="I191" s="15">
        <f t="shared" si="22"/>
        <v>183.39196646409084</v>
      </c>
    </row>
    <row r="192" spans="1:9" x14ac:dyDescent="0.25">
      <c r="A192" s="3">
        <v>185</v>
      </c>
      <c r="B192" s="3">
        <v>-0.28917312650681598</v>
      </c>
      <c r="C192" s="12">
        <f t="shared" si="16"/>
        <v>0.15808524950973279</v>
      </c>
      <c r="D192" s="12">
        <f t="shared" si="17"/>
        <v>-8.1562500311470852E-4</v>
      </c>
      <c r="E192" s="13">
        <f t="shared" si="18"/>
        <v>-0.17081244682764143</v>
      </c>
      <c r="F192" s="12">
        <f t="shared" si="19"/>
        <v>5.5942106087556676E-2</v>
      </c>
      <c r="G192" s="12">
        <f t="shared" si="20"/>
        <v>0.34511523259437266</v>
      </c>
      <c r="H192" s="12">
        <f t="shared" si="21"/>
        <v>0.11910452376866794</v>
      </c>
      <c r="I192" s="15">
        <f t="shared" si="22"/>
        <v>119.34554111695373</v>
      </c>
    </row>
    <row r="193" spans="1:9" x14ac:dyDescent="0.25">
      <c r="A193" s="4">
        <v>186</v>
      </c>
      <c r="B193" s="3">
        <v>0.40847058811457998</v>
      </c>
      <c r="C193" s="12">
        <f t="shared" si="16"/>
        <v>0.13241256917579933</v>
      </c>
      <c r="D193" s="12">
        <f t="shared" si="17"/>
        <v>-1.1884808330769898E-3</v>
      </c>
      <c r="E193" s="13">
        <f t="shared" si="18"/>
        <v>0.46568775938039109</v>
      </c>
      <c r="F193" s="12">
        <f t="shared" si="19"/>
        <v>0.64520444840809188</v>
      </c>
      <c r="G193" s="12">
        <f t="shared" si="20"/>
        <v>0.2367338602935119</v>
      </c>
      <c r="H193" s="12">
        <f t="shared" si="21"/>
        <v>5.6042920609468007E-2</v>
      </c>
      <c r="I193" s="15">
        <f t="shared" si="22"/>
        <v>57.956158211103748</v>
      </c>
    </row>
    <row r="194" spans="1:9" x14ac:dyDescent="0.25">
      <c r="A194" s="3">
        <v>187</v>
      </c>
      <c r="B194" s="3">
        <v>-0.20446169883147799</v>
      </c>
      <c r="C194" s="12">
        <f t="shared" si="16"/>
        <v>0.14455216352246955</v>
      </c>
      <c r="D194" s="12">
        <f t="shared" si="17"/>
        <v>-9.8855970538078153E-4</v>
      </c>
      <c r="E194" s="13">
        <f t="shared" si="18"/>
        <v>-0.45069120921925238</v>
      </c>
      <c r="F194" s="12">
        <f t="shared" si="19"/>
        <v>-0.3313957481624038</v>
      </c>
      <c r="G194" s="12">
        <f t="shared" si="20"/>
        <v>0.12693404933092581</v>
      </c>
      <c r="H194" s="12">
        <f t="shared" si="21"/>
        <v>1.6112252879545905E-2</v>
      </c>
      <c r="I194" s="15">
        <f t="shared" si="22"/>
        <v>62.082067231353562</v>
      </c>
    </row>
    <row r="195" spans="1:9" x14ac:dyDescent="0.25">
      <c r="A195" s="4">
        <v>188</v>
      </c>
      <c r="B195" s="3">
        <v>-3.1888625543645598E-2</v>
      </c>
      <c r="C195" s="12">
        <f t="shared" si="16"/>
        <v>0.13350822043122057</v>
      </c>
      <c r="D195" s="12">
        <f t="shared" si="17"/>
        <v>-1.1393904561688044E-3</v>
      </c>
      <c r="E195" s="13">
        <f t="shared" si="18"/>
        <v>-8.8686241435198654E-2</v>
      </c>
      <c r="F195" s="12">
        <f t="shared" si="19"/>
        <v>6.3876930512242164E-2</v>
      </c>
      <c r="G195" s="12">
        <f t="shared" si="20"/>
        <v>9.5765556055887768E-2</v>
      </c>
      <c r="H195" s="12">
        <f t="shared" si="21"/>
        <v>9.1710417266933821E-3</v>
      </c>
      <c r="I195" s="15">
        <f t="shared" si="22"/>
        <v>300.31258614396705</v>
      </c>
    </row>
    <row r="196" spans="1:9" x14ac:dyDescent="0.25">
      <c r="A196" s="3">
        <v>189</v>
      </c>
      <c r="B196" s="3">
        <v>0.20664284616570699</v>
      </c>
      <c r="C196" s="12">
        <f t="shared" si="16"/>
        <v>0.15688313242915636</v>
      </c>
      <c r="D196" s="12">
        <f t="shared" si="17"/>
        <v>-7.7167591935723562E-4</v>
      </c>
      <c r="E196" s="13">
        <f t="shared" si="18"/>
        <v>-0.13725523029486963</v>
      </c>
      <c r="F196" s="12">
        <f t="shared" si="19"/>
        <v>-2.6826701016241489E-2</v>
      </c>
      <c r="G196" s="12">
        <f t="shared" si="20"/>
        <v>0.23346954718194848</v>
      </c>
      <c r="H196" s="12">
        <f t="shared" si="21"/>
        <v>5.4508029461344067E-2</v>
      </c>
      <c r="I196" s="15">
        <f t="shared" si="22"/>
        <v>112.98215811193828</v>
      </c>
    </row>
    <row r="197" spans="1:9" x14ac:dyDescent="0.25">
      <c r="A197" s="4">
        <v>190</v>
      </c>
      <c r="B197" s="3">
        <v>0.50639427733435105</v>
      </c>
      <c r="C197" s="12">
        <f t="shared" si="16"/>
        <v>0.20791352511246364</v>
      </c>
      <c r="D197" s="12">
        <f t="shared" si="17"/>
        <v>5.3551096827320456E-6</v>
      </c>
      <c r="E197" s="13">
        <f t="shared" si="18"/>
        <v>-9.6707362087153914E-2</v>
      </c>
      <c r="F197" s="12">
        <f t="shared" si="19"/>
        <v>1.3041243023260485E-2</v>
      </c>
      <c r="G197" s="12">
        <f t="shared" si="20"/>
        <v>0.49335303431109057</v>
      </c>
      <c r="H197" s="12">
        <f t="shared" si="21"/>
        <v>0.24339721646396009</v>
      </c>
      <c r="I197" s="15">
        <f t="shared" si="22"/>
        <v>97.424685939993367</v>
      </c>
    </row>
    <row r="198" spans="1:9" x14ac:dyDescent="0.25">
      <c r="A198" s="3">
        <v>191</v>
      </c>
      <c r="B198" s="3">
        <v>1.80762233765113</v>
      </c>
      <c r="C198" s="12">
        <f t="shared" si="16"/>
        <v>0.22597436372629701</v>
      </c>
      <c r="D198" s="12">
        <f t="shared" si="17"/>
        <v>2.761873622449916E-4</v>
      </c>
      <c r="E198" s="13">
        <f t="shared" si="18"/>
        <v>1.4439061294113829</v>
      </c>
      <c r="F198" s="12">
        <f t="shared" si="19"/>
        <v>1.6356653518973143</v>
      </c>
      <c r="G198" s="12">
        <f t="shared" si="20"/>
        <v>0.17195698575381568</v>
      </c>
      <c r="H198" s="12">
        <f t="shared" si="21"/>
        <v>2.9569204949537971E-2</v>
      </c>
      <c r="I198" s="15">
        <f t="shared" si="22"/>
        <v>9.5128823190612337</v>
      </c>
    </row>
    <row r="199" spans="1:9" x14ac:dyDescent="0.25">
      <c r="A199" s="4">
        <v>192</v>
      </c>
      <c r="B199" s="3">
        <v>-0.74042109218128105</v>
      </c>
      <c r="C199" s="12">
        <f t="shared" si="16"/>
        <v>0.21722581278079781</v>
      </c>
      <c r="D199" s="12">
        <f t="shared" si="17"/>
        <v>1.4081628762882873E-4</v>
      </c>
      <c r="E199" s="13">
        <f t="shared" si="18"/>
        <v>-0.8887988954100714</v>
      </c>
      <c r="F199" s="12">
        <f t="shared" si="19"/>
        <v>-0.65447120353609833</v>
      </c>
      <c r="G199" s="12">
        <f t="shared" si="20"/>
        <v>8.5949888645182715E-2</v>
      </c>
      <c r="H199" s="12">
        <f t="shared" si="21"/>
        <v>7.3873833581193085E-3</v>
      </c>
      <c r="I199" s="15">
        <f t="shared" si="22"/>
        <v>11.608244221132907</v>
      </c>
    </row>
    <row r="200" spans="1:9" x14ac:dyDescent="0.25">
      <c r="A200" s="3">
        <v>193</v>
      </c>
      <c r="B200" s="3">
        <v>-9.04920006391704E-2</v>
      </c>
      <c r="C200" s="12">
        <f t="shared" si="16"/>
        <v>0.21111553189560917</v>
      </c>
      <c r="D200" s="12">
        <f t="shared" si="17"/>
        <v>4.7049830036566704E-5</v>
      </c>
      <c r="E200" s="13">
        <f t="shared" si="18"/>
        <v>-0.25391910288853087</v>
      </c>
      <c r="F200" s="12">
        <f t="shared" si="19"/>
        <v>-3.0957741850432596E-2</v>
      </c>
      <c r="G200" s="12">
        <f t="shared" si="20"/>
        <v>5.9534258788737804E-2</v>
      </c>
      <c r="H200" s="12">
        <f t="shared" si="21"/>
        <v>3.5443279695244042E-3</v>
      </c>
      <c r="I200" s="15">
        <f t="shared" si="22"/>
        <v>65.7895265528783</v>
      </c>
    </row>
    <row r="201" spans="1:9" x14ac:dyDescent="0.25">
      <c r="A201" s="4">
        <v>194</v>
      </c>
      <c r="B201" s="3">
        <v>-1.36724581555732E-2</v>
      </c>
      <c r="C201" s="12">
        <f t="shared" si="16"/>
        <v>0.17523605683807797</v>
      </c>
      <c r="D201" s="12">
        <f t="shared" si="17"/>
        <v>-4.9184804327694965E-4</v>
      </c>
      <c r="E201" s="13">
        <f t="shared" si="18"/>
        <v>8.5168100226005822E-2</v>
      </c>
      <c r="F201" s="12">
        <f t="shared" si="19"/>
        <v>0.32848492172602473</v>
      </c>
      <c r="G201" s="12">
        <f t="shared" si="20"/>
        <v>0.34215737988159795</v>
      </c>
      <c r="H201" s="12">
        <f t="shared" si="21"/>
        <v>0.11707167260744013</v>
      </c>
      <c r="I201" s="15">
        <f t="shared" si="22"/>
        <v>2502.5300936256804</v>
      </c>
    </row>
    <row r="202" spans="1:9" x14ac:dyDescent="0.25">
      <c r="A202" s="3">
        <v>195</v>
      </c>
      <c r="B202" s="3">
        <v>0.13905292368836</v>
      </c>
      <c r="C202" s="12">
        <f t="shared" si="16"/>
        <v>0.16757592769621044</v>
      </c>
      <c r="D202" s="12">
        <f t="shared" si="17"/>
        <v>-5.9937225975580837E-4</v>
      </c>
      <c r="E202" s="13">
        <f t="shared" si="18"/>
        <v>2.6162447106421294E-2</v>
      </c>
      <c r="F202" s="12">
        <f t="shared" si="19"/>
        <v>0.20732226748446089</v>
      </c>
      <c r="G202" s="12">
        <f t="shared" si="20"/>
        <v>6.826934379610089E-2</v>
      </c>
      <c r="H202" s="12">
        <f t="shared" si="21"/>
        <v>4.6607033023502191E-3</v>
      </c>
      <c r="I202" s="15">
        <f t="shared" si="22"/>
        <v>49.095942742709589</v>
      </c>
    </row>
    <row r="203" spans="1:9" x14ac:dyDescent="0.25">
      <c r="A203" s="4">
        <v>196</v>
      </c>
      <c r="B203" s="3">
        <v>-0.24083372074979201</v>
      </c>
      <c r="C203" s="12">
        <f t="shared" si="16"/>
        <v>0.15477287642414886</v>
      </c>
      <c r="D203" s="12">
        <f t="shared" si="17"/>
        <v>-7.8242744494039489E-4</v>
      </c>
      <c r="E203" s="13">
        <f t="shared" si="18"/>
        <v>-0.30250705449934817</v>
      </c>
      <c r="F203" s="12">
        <f t="shared" si="19"/>
        <v>-0.12460820634687991</v>
      </c>
      <c r="G203" s="12">
        <f t="shared" si="20"/>
        <v>0.11622551440291209</v>
      </c>
      <c r="H203" s="12">
        <f t="shared" si="21"/>
        <v>1.3508370198221526E-2</v>
      </c>
      <c r="I203" s="15">
        <f t="shared" si="22"/>
        <v>48.259651530967126</v>
      </c>
    </row>
    <row r="204" spans="1:9" x14ac:dyDescent="0.25">
      <c r="A204" s="3">
        <v>197</v>
      </c>
      <c r="B204" s="3">
        <v>-5.0272414665877597E-2</v>
      </c>
      <c r="C204" s="12">
        <f t="shared" si="16"/>
        <v>0.15047815521337679</v>
      </c>
      <c r="D204" s="12">
        <f t="shared" si="17"/>
        <v>-8.3511185142786997E-4</v>
      </c>
      <c r="E204" s="13">
        <f t="shared" si="18"/>
        <v>-0.17395594974806081</v>
      </c>
      <c r="F204" s="12">
        <f t="shared" si="19"/>
        <v>-1.6821997848432968E-2</v>
      </c>
      <c r="G204" s="12">
        <f t="shared" si="20"/>
        <v>3.345041681744463E-2</v>
      </c>
      <c r="H204" s="12">
        <f t="shared" si="21"/>
        <v>1.1189303852607824E-3</v>
      </c>
      <c r="I204" s="15">
        <f t="shared" si="22"/>
        <v>66.538313386703308</v>
      </c>
    </row>
    <row r="205" spans="1:9" x14ac:dyDescent="0.25">
      <c r="A205" s="4">
        <v>198</v>
      </c>
      <c r="B205" s="3">
        <v>0.31176248001510098</v>
      </c>
      <c r="C205" s="12">
        <f t="shared" si="16"/>
        <v>0.11776836947558883</v>
      </c>
      <c r="D205" s="12">
        <f t="shared" si="17"/>
        <v>-1.3132319597232711E-3</v>
      </c>
      <c r="E205" s="13">
        <f t="shared" si="18"/>
        <v>0.43715992625209876</v>
      </c>
      <c r="F205" s="12">
        <f t="shared" si="19"/>
        <v>0.61533080274233998</v>
      </c>
      <c r="G205" s="12">
        <f t="shared" si="20"/>
        <v>0.30356832272723899</v>
      </c>
      <c r="H205" s="12">
        <f t="shared" si="21"/>
        <v>9.2153726563429128E-2</v>
      </c>
      <c r="I205" s="15">
        <f t="shared" si="22"/>
        <v>97.371666633051831</v>
      </c>
    </row>
    <row r="206" spans="1:9" x14ac:dyDescent="0.25">
      <c r="A206" s="3">
        <v>199</v>
      </c>
      <c r="B206" s="3">
        <v>-5.4007736326876797E-2</v>
      </c>
      <c r="C206" s="12">
        <f t="shared" si="16"/>
        <v>0.14587911273039911</v>
      </c>
      <c r="D206" s="12">
        <f t="shared" si="17"/>
        <v>-8.71872331505268E-4</v>
      </c>
      <c r="E206" s="13">
        <f t="shared" si="18"/>
        <v>-0.42435675140224483</v>
      </c>
      <c r="F206" s="12">
        <f t="shared" si="19"/>
        <v>-0.33423607170338682</v>
      </c>
      <c r="G206" s="12">
        <f t="shared" si="20"/>
        <v>0.28022833537651004</v>
      </c>
      <c r="H206" s="12">
        <f t="shared" si="21"/>
        <v>7.8527919947889782E-2</v>
      </c>
      <c r="I206" s="15">
        <f t="shared" si="22"/>
        <v>518.86702616168566</v>
      </c>
    </row>
    <row r="207" spans="1:9" x14ac:dyDescent="0.25">
      <c r="A207" s="4">
        <v>200</v>
      </c>
      <c r="B207" s="3">
        <v>-0.29226818591660902</v>
      </c>
      <c r="C207" s="12">
        <f t="shared" si="16"/>
        <v>0.10840537598646191</v>
      </c>
      <c r="D207" s="12">
        <f t="shared" si="17"/>
        <v>-1.4209002976917468E-3</v>
      </c>
      <c r="E207" s="13">
        <f t="shared" si="18"/>
        <v>-0.12144491008432523</v>
      </c>
      <c r="F207" s="12">
        <f t="shared" si="19"/>
        <v>5.632099896369519E-2</v>
      </c>
      <c r="G207" s="12">
        <f t="shared" si="20"/>
        <v>0.34858918488030421</v>
      </c>
      <c r="H207" s="12">
        <f t="shared" si="21"/>
        <v>0.12151441981551492</v>
      </c>
      <c r="I207" s="15">
        <f t="shared" si="22"/>
        <v>119.27031462116267</v>
      </c>
    </row>
    <row r="208" spans="1:9" x14ac:dyDescent="0.25">
      <c r="A208" s="3">
        <v>201</v>
      </c>
      <c r="B208" s="3">
        <v>-5.4637020422787397E-2</v>
      </c>
      <c r="C208" s="12">
        <f t="shared" si="16"/>
        <v>0.10442601777801792</v>
      </c>
      <c r="D208" s="12">
        <f t="shared" si="17"/>
        <v>-1.4592771663530305E-3</v>
      </c>
      <c r="E208" s="13">
        <f t="shared" si="18"/>
        <v>-0.13954505012499288</v>
      </c>
      <c r="F208" s="12">
        <f t="shared" si="19"/>
        <v>-3.0270754606099473E-2</v>
      </c>
      <c r="G208" s="12">
        <f t="shared" si="20"/>
        <v>2.4366265816687924E-2</v>
      </c>
      <c r="H208" s="12">
        <f t="shared" si="21"/>
        <v>5.9371490984949443E-4</v>
      </c>
      <c r="I208" s="15">
        <f t="shared" si="22"/>
        <v>44.596622634505003</v>
      </c>
    </row>
    <row r="209" spans="1:9" x14ac:dyDescent="0.25">
      <c r="A209" s="4">
        <v>202</v>
      </c>
      <c r="B209" s="3">
        <v>1.4880043740073901E-2</v>
      </c>
      <c r="C209" s="12">
        <f t="shared" si="16"/>
        <v>0.103871910459299</v>
      </c>
      <c r="D209" s="12">
        <f t="shared" si="17"/>
        <v>-1.4456996186385188E-3</v>
      </c>
      <c r="E209" s="13">
        <f t="shared" si="18"/>
        <v>-9.5897235073521395E-2</v>
      </c>
      <c r="F209" s="12">
        <f t="shared" si="19"/>
        <v>6.2593785245109723E-3</v>
      </c>
      <c r="G209" s="12">
        <f t="shared" si="20"/>
        <v>8.6206652155629282E-3</v>
      </c>
      <c r="H209" s="12">
        <f t="shared" si="21"/>
        <v>7.4315868758816631E-5</v>
      </c>
      <c r="I209" s="15">
        <f t="shared" si="22"/>
        <v>57.934407762165051</v>
      </c>
    </row>
    <row r="210" spans="1:9" x14ac:dyDescent="0.25">
      <c r="A210" s="3">
        <v>203</v>
      </c>
      <c r="B210" s="3">
        <v>1.7907206060415199</v>
      </c>
      <c r="C210" s="12">
        <f t="shared" si="16"/>
        <v>0.12808697874855551</v>
      </c>
      <c r="D210" s="12">
        <f t="shared" si="17"/>
        <v>-1.0607881000200933E-3</v>
      </c>
      <c r="E210" s="13">
        <f t="shared" si="18"/>
        <v>1.4668725166889489</v>
      </c>
      <c r="F210" s="12">
        <f t="shared" si="19"/>
        <v>1.5463323402520432</v>
      </c>
      <c r="G210" s="12">
        <f t="shared" si="20"/>
        <v>0.2443882657894767</v>
      </c>
      <c r="H210" s="12">
        <f t="shared" si="21"/>
        <v>5.9725624455587906E-2</v>
      </c>
      <c r="I210" s="15">
        <f t="shared" si="22"/>
        <v>13.64748163197326</v>
      </c>
    </row>
    <row r="211" spans="1:9" x14ac:dyDescent="0.25">
      <c r="A211" s="4">
        <v>204</v>
      </c>
      <c r="B211" s="3">
        <v>-1.41412372235956</v>
      </c>
      <c r="C211" s="12">
        <f t="shared" si="16"/>
        <v>5.8529333800742919E-2</v>
      </c>
      <c r="D211" s="12">
        <f t="shared" si="17"/>
        <v>-2.0882409527369808E-3</v>
      </c>
      <c r="E211" s="13">
        <f t="shared" si="18"/>
        <v>-0.95010358228884573</v>
      </c>
      <c r="F211" s="12">
        <f t="shared" si="19"/>
        <v>-0.76177270476153591</v>
      </c>
      <c r="G211" s="12">
        <f t="shared" si="20"/>
        <v>0.65235101759802405</v>
      </c>
      <c r="H211" s="12">
        <f t="shared" si="21"/>
        <v>0.42556185016117748</v>
      </c>
      <c r="I211" s="15">
        <f t="shared" si="22"/>
        <v>46.13111337313066</v>
      </c>
    </row>
    <row r="212" spans="1:9" x14ac:dyDescent="0.25">
      <c r="A212" s="3">
        <v>205</v>
      </c>
      <c r="B212" s="3">
        <v>-9.5789555933411999E-2</v>
      </c>
      <c r="C212" s="12">
        <f t="shared" ref="C212:C275" si="23">$D$3 * (B212 - E200) + (1 - $D$3) * (C211 + D211)</f>
        <v>6.71183805292528E-2</v>
      </c>
      <c r="D212" s="12">
        <f t="shared" ref="D212:D275" si="24">$E$3 * (C212 - C211) + (1 - $E$3) * D211</f>
        <v>-1.9280816375182776E-3</v>
      </c>
      <c r="E212" s="13">
        <f t="shared" ref="E212:E275" si="25">$F$3*(B212-C212)+(1-$F$3)*E200</f>
        <v>-0.24436293041381493</v>
      </c>
      <c r="F212" s="12">
        <f t="shared" si="19"/>
        <v>-0.19747801004052493</v>
      </c>
      <c r="G212" s="12">
        <f t="shared" si="20"/>
        <v>0.10168845410711293</v>
      </c>
      <c r="H212" s="12">
        <f t="shared" si="21"/>
        <v>1.0340541698694411E-2</v>
      </c>
      <c r="I212" s="15">
        <f t="shared" si="22"/>
        <v>106.15818511341834</v>
      </c>
    </row>
    <row r="213" spans="1:9" x14ac:dyDescent="0.25">
      <c r="A213" s="4">
        <v>206</v>
      </c>
      <c r="B213" s="3">
        <v>0.21703877625210299</v>
      </c>
      <c r="C213" s="12">
        <f t="shared" si="23"/>
        <v>7.2191738490842608E-2</v>
      </c>
      <c r="D213" s="12">
        <f t="shared" si="24"/>
        <v>-1.8230600435316564E-3</v>
      </c>
      <c r="E213" s="13">
        <f t="shared" si="25"/>
        <v>9.1434388667207545E-2</v>
      </c>
      <c r="F213" s="12">
        <f t="shared" ref="F213:F276" si="26">C212+D212+E201</f>
        <v>0.15035839911774035</v>
      </c>
      <c r="G213" s="12">
        <f t="shared" ref="G213:G276" si="27">ABS(B213-F213)</f>
        <v>6.6680377134362645E-2</v>
      </c>
      <c r="H213" s="12">
        <f t="shared" ref="H213:H276" si="28">(B213-F213)^2</f>
        <v>4.4462726947808329E-3</v>
      </c>
      <c r="I213" s="15">
        <f t="shared" ref="I213:I276" si="29">ABS((B213 - F213) / B213) * 100</f>
        <v>30.722794463653607</v>
      </c>
    </row>
    <row r="214" spans="1:9" x14ac:dyDescent="0.25">
      <c r="A214" s="3">
        <v>207</v>
      </c>
      <c r="B214" s="3">
        <v>-0.434960406115453</v>
      </c>
      <c r="C214" s="12">
        <f t="shared" si="23"/>
        <v>1.456206762204651E-2</v>
      </c>
      <c r="D214" s="12">
        <f t="shared" si="24"/>
        <v>-2.6601592059106228E-3</v>
      </c>
      <c r="E214" s="13">
        <f t="shared" si="25"/>
        <v>-2.3784469582190389E-2</v>
      </c>
      <c r="F214" s="12">
        <f t="shared" si="26"/>
        <v>9.653112555373225E-2</v>
      </c>
      <c r="G214" s="12">
        <f t="shared" si="27"/>
        <v>0.53149153166918528</v>
      </c>
      <c r="H214" s="12">
        <f t="shared" si="28"/>
        <v>0.28248324823605658</v>
      </c>
      <c r="I214" s="15">
        <f t="shared" si="29"/>
        <v>122.1930833695492</v>
      </c>
    </row>
    <row r="215" spans="1:9" x14ac:dyDescent="0.25">
      <c r="A215" s="4">
        <v>208</v>
      </c>
      <c r="B215" s="3">
        <v>0.31972846307112601</v>
      </c>
      <c r="C215" s="12">
        <f t="shared" si="23"/>
        <v>7.5986937377341399E-2</v>
      </c>
      <c r="D215" s="12">
        <f t="shared" si="24"/>
        <v>-1.69888377149254E-3</v>
      </c>
      <c r="E215" s="13">
        <f t="shared" si="25"/>
        <v>-0.24515095357906927</v>
      </c>
      <c r="F215" s="12">
        <f t="shared" si="26"/>
        <v>-0.29060514608321231</v>
      </c>
      <c r="G215" s="12">
        <f t="shared" si="27"/>
        <v>0.61033360915433832</v>
      </c>
      <c r="H215" s="12">
        <f t="shared" si="28"/>
        <v>0.3725071144633606</v>
      </c>
      <c r="I215" s="15">
        <f t="shared" si="29"/>
        <v>190.89123417159297</v>
      </c>
    </row>
    <row r="216" spans="1:9" x14ac:dyDescent="0.25">
      <c r="A216" s="3">
        <v>209</v>
      </c>
      <c r="B216" s="3">
        <v>0.245379136096882</v>
      </c>
      <c r="C216" s="12">
        <f t="shared" si="23"/>
        <v>0.11051799199095373</v>
      </c>
      <c r="D216" s="12">
        <f t="shared" si="24"/>
        <v>-1.1554346957159669E-3</v>
      </c>
      <c r="E216" s="13">
        <f t="shared" si="25"/>
        <v>-0.14153015489339194</v>
      </c>
      <c r="F216" s="12">
        <f t="shared" si="26"/>
        <v>-9.9667896142211942E-2</v>
      </c>
      <c r="G216" s="12">
        <f t="shared" si="27"/>
        <v>0.34504703223909394</v>
      </c>
      <c r="H216" s="12">
        <f t="shared" si="28"/>
        <v>0.11905745445700633</v>
      </c>
      <c r="I216" s="15">
        <f t="shared" si="29"/>
        <v>140.61791794020354</v>
      </c>
    </row>
    <row r="217" spans="1:9" x14ac:dyDescent="0.25">
      <c r="A217" s="4">
        <v>210</v>
      </c>
      <c r="B217" s="3">
        <v>0.98610145076896805</v>
      </c>
      <c r="C217" s="12">
        <f t="shared" si="23"/>
        <v>0.15551834885350907</v>
      </c>
      <c r="D217" s="12">
        <f t="shared" si="24"/>
        <v>-4.6309782234189747E-4</v>
      </c>
      <c r="E217" s="13">
        <f t="shared" si="25"/>
        <v>0.47846935969675164</v>
      </c>
      <c r="F217" s="12">
        <f t="shared" si="26"/>
        <v>0.54652248354733657</v>
      </c>
      <c r="G217" s="12">
        <f t="shared" si="27"/>
        <v>0.43957896722163148</v>
      </c>
      <c r="H217" s="12">
        <f t="shared" si="28"/>
        <v>0.19322966842363618</v>
      </c>
      <c r="I217" s="15">
        <f t="shared" si="29"/>
        <v>44.577458726872891</v>
      </c>
    </row>
    <row r="218" spans="1:9" x14ac:dyDescent="0.25">
      <c r="A218" s="3">
        <v>211</v>
      </c>
      <c r="B218" s="3">
        <v>7.94356333039236E-3</v>
      </c>
      <c r="C218" s="12">
        <f t="shared" si="23"/>
        <v>0.18416598271982154</v>
      </c>
      <c r="D218" s="12">
        <f t="shared" si="24"/>
        <v>-2.6436847012081962E-5</v>
      </c>
      <c r="E218" s="13">
        <f t="shared" si="25"/>
        <v>-0.39830264654089914</v>
      </c>
      <c r="F218" s="12">
        <f t="shared" si="26"/>
        <v>-0.26930150037107764</v>
      </c>
      <c r="G218" s="12">
        <f t="shared" si="27"/>
        <v>0.27724506370147001</v>
      </c>
      <c r="H218" s="12">
        <f t="shared" si="28"/>
        <v>7.6864825346832158E-2</v>
      </c>
      <c r="I218" s="15">
        <f t="shared" si="29"/>
        <v>3490.1850991823826</v>
      </c>
    </row>
    <row r="219" spans="1:9" x14ac:dyDescent="0.25">
      <c r="A219" s="4">
        <v>212</v>
      </c>
      <c r="B219" s="3">
        <v>-0.20617363686870899</v>
      </c>
      <c r="C219" s="12">
        <f t="shared" si="23"/>
        <v>0.15590837724380416</v>
      </c>
      <c r="D219" s="12">
        <f t="shared" si="24"/>
        <v>-4.4990437644716147E-4</v>
      </c>
      <c r="E219" s="13">
        <f t="shared" si="25"/>
        <v>-0.14671180600728498</v>
      </c>
      <c r="F219" s="12">
        <f t="shared" si="26"/>
        <v>6.2694635788484221E-2</v>
      </c>
      <c r="G219" s="12">
        <f t="shared" si="27"/>
        <v>0.26886827265719321</v>
      </c>
      <c r="H219" s="12">
        <f t="shared" si="28"/>
        <v>7.2290148041662783E-2</v>
      </c>
      <c r="I219" s="15">
        <f t="shared" si="29"/>
        <v>130.40865783844521</v>
      </c>
    </row>
    <row r="220" spans="1:9" x14ac:dyDescent="0.25">
      <c r="A220" s="3">
        <v>213</v>
      </c>
      <c r="B220" s="3">
        <v>-4.3030612001045597E-2</v>
      </c>
      <c r="C220" s="12">
        <f t="shared" si="23"/>
        <v>0.14926934921929899</v>
      </c>
      <c r="D220" s="12">
        <f t="shared" si="24"/>
        <v>-5.4274123116803156E-4</v>
      </c>
      <c r="E220" s="13">
        <f t="shared" si="25"/>
        <v>-0.1450843157900048</v>
      </c>
      <c r="F220" s="12">
        <f t="shared" si="26"/>
        <v>1.5913422742364125E-2</v>
      </c>
      <c r="G220" s="12">
        <f t="shared" si="27"/>
        <v>5.8944034743409722E-2</v>
      </c>
      <c r="H220" s="12">
        <f t="shared" si="28"/>
        <v>3.4743992318322925E-3</v>
      </c>
      <c r="I220" s="15">
        <f t="shared" si="29"/>
        <v>136.98163238295902</v>
      </c>
    </row>
    <row r="221" spans="1:9" x14ac:dyDescent="0.25">
      <c r="A221" s="4">
        <v>214</v>
      </c>
      <c r="B221" s="3">
        <v>-1.36894847584193E-2</v>
      </c>
      <c r="C221" s="12">
        <f t="shared" si="23"/>
        <v>0.14174212793246294</v>
      </c>
      <c r="D221" s="12">
        <f t="shared" si="24"/>
        <v>-6.4750843200305191E-4</v>
      </c>
      <c r="E221" s="13">
        <f t="shared" si="25"/>
        <v>-0.10214834472334428</v>
      </c>
      <c r="F221" s="12">
        <f t="shared" si="26"/>
        <v>5.2829372914609554E-2</v>
      </c>
      <c r="G221" s="12">
        <f t="shared" si="27"/>
        <v>6.6518857673028856E-2</v>
      </c>
      <c r="H221" s="12">
        <f t="shared" si="28"/>
        <v>4.4247584261246703E-3</v>
      </c>
      <c r="I221" s="15">
        <f t="shared" si="29"/>
        <v>485.91206204542112</v>
      </c>
    </row>
    <row r="222" spans="1:9" x14ac:dyDescent="0.25">
      <c r="A222" s="3">
        <v>215</v>
      </c>
      <c r="B222" s="3">
        <v>1.88721568348969</v>
      </c>
      <c r="C222" s="12">
        <f t="shared" si="23"/>
        <v>0.17041571696698943</v>
      </c>
      <c r="D222" s="12">
        <f t="shared" si="24"/>
        <v>-2.0769197000510871E-4</v>
      </c>
      <c r="E222" s="13">
        <f t="shared" si="25"/>
        <v>1.4931148989214929</v>
      </c>
      <c r="F222" s="12">
        <f t="shared" si="26"/>
        <v>1.6079671361894088</v>
      </c>
      <c r="G222" s="12">
        <f t="shared" si="27"/>
        <v>0.27924854730028126</v>
      </c>
      <c r="H222" s="12">
        <f t="shared" si="28"/>
        <v>7.7979751169317421E-2</v>
      </c>
      <c r="I222" s="15">
        <f t="shared" si="29"/>
        <v>14.796853891332489</v>
      </c>
    </row>
    <row r="223" spans="1:9" x14ac:dyDescent="0.25">
      <c r="A223" s="4">
        <v>216</v>
      </c>
      <c r="B223" s="3">
        <v>-0.81166425826388899</v>
      </c>
      <c r="C223" s="12">
        <f t="shared" si="23"/>
        <v>0.16687231139492142</v>
      </c>
      <c r="D223" s="12">
        <f t="shared" si="24"/>
        <v>-2.5772767403605215E-4</v>
      </c>
      <c r="E223" s="13">
        <f t="shared" si="25"/>
        <v>-0.95308904596269206</v>
      </c>
      <c r="F223" s="12">
        <f t="shared" si="26"/>
        <v>-0.77989555729186144</v>
      </c>
      <c r="G223" s="12">
        <f t="shared" si="27"/>
        <v>3.1768700972027553E-2</v>
      </c>
      <c r="H223" s="12">
        <f t="shared" si="28"/>
        <v>1.0092503614501044E-3</v>
      </c>
      <c r="I223" s="15">
        <f t="shared" si="29"/>
        <v>3.9140199471120343</v>
      </c>
    </row>
    <row r="224" spans="1:9" x14ac:dyDescent="0.25">
      <c r="A224" s="3">
        <v>217</v>
      </c>
      <c r="B224" s="3">
        <v>-0.20078894498172301</v>
      </c>
      <c r="C224" s="12">
        <f t="shared" si="23"/>
        <v>0.15369532090056207</v>
      </c>
      <c r="D224" s="12">
        <f t="shared" si="24"/>
        <v>-4.5151661634090171E-4</v>
      </c>
      <c r="E224" s="13">
        <f t="shared" si="25"/>
        <v>-0.25592567063800431</v>
      </c>
      <c r="F224" s="12">
        <f t="shared" si="26"/>
        <v>-7.7748346692929571E-2</v>
      </c>
      <c r="G224" s="12">
        <f t="shared" si="27"/>
        <v>0.12304059828879343</v>
      </c>
      <c r="H224" s="12">
        <f t="shared" si="28"/>
        <v>1.5138988827264237E-2</v>
      </c>
      <c r="I224" s="15">
        <f t="shared" si="29"/>
        <v>61.278572034926185</v>
      </c>
    </row>
    <row r="225" spans="1:9" x14ac:dyDescent="0.25">
      <c r="A225" s="4">
        <v>218</v>
      </c>
      <c r="B225" s="3">
        <v>0.119334517755028</v>
      </c>
      <c r="C225" s="12">
        <f t="shared" si="23"/>
        <v>0.14008271838859906</v>
      </c>
      <c r="D225" s="12">
        <f t="shared" si="24"/>
        <v>-6.4893290477523321E-4</v>
      </c>
      <c r="E225" s="13">
        <f t="shared" si="25"/>
        <v>7.9655216790625788E-2</v>
      </c>
      <c r="F225" s="12">
        <f t="shared" si="26"/>
        <v>0.2446781929514287</v>
      </c>
      <c r="G225" s="12">
        <f t="shared" si="27"/>
        <v>0.12534367519640072</v>
      </c>
      <c r="H225" s="12">
        <f t="shared" si="28"/>
        <v>1.5711036911740799E-2</v>
      </c>
      <c r="I225" s="15">
        <f t="shared" si="29"/>
        <v>105.03555681492627</v>
      </c>
    </row>
    <row r="226" spans="1:9" x14ac:dyDescent="0.25">
      <c r="A226" s="3">
        <v>219</v>
      </c>
      <c r="B226" s="3">
        <v>8.9251880240048098E-2</v>
      </c>
      <c r="C226" s="12">
        <f t="shared" si="23"/>
        <v>0.13666205473935736</v>
      </c>
      <c r="D226" s="12">
        <f t="shared" si="24"/>
        <v>-6.905088659422303E-4</v>
      </c>
      <c r="E226" s="13">
        <f t="shared" si="25"/>
        <v>-2.6265168598487872E-2</v>
      </c>
      <c r="F226" s="12">
        <f t="shared" si="26"/>
        <v>0.11564931590163344</v>
      </c>
      <c r="G226" s="12">
        <f t="shared" si="27"/>
        <v>2.6397435661585339E-2</v>
      </c>
      <c r="H226" s="12">
        <f t="shared" si="28"/>
        <v>6.968246095075374E-4</v>
      </c>
      <c r="I226" s="15">
        <f t="shared" si="29"/>
        <v>29.576335636389857</v>
      </c>
    </row>
    <row r="227" spans="1:9" x14ac:dyDescent="0.25">
      <c r="A227" s="4">
        <v>220</v>
      </c>
      <c r="B227" s="3">
        <v>3.5740062446375301E-3</v>
      </c>
      <c r="C227" s="12">
        <f t="shared" si="23"/>
        <v>0.14781065433819573</v>
      </c>
      <c r="D227" s="12">
        <f t="shared" si="24"/>
        <v>-5.1292223897052118E-4</v>
      </c>
      <c r="E227" s="13">
        <f t="shared" si="25"/>
        <v>-0.23455495150309061</v>
      </c>
      <c r="F227" s="12">
        <f t="shared" si="26"/>
        <v>-0.10917940770565415</v>
      </c>
      <c r="G227" s="12">
        <f t="shared" si="27"/>
        <v>0.11275341395029168</v>
      </c>
      <c r="H227" s="12">
        <f t="shared" si="28"/>
        <v>1.2713332357445829E-2</v>
      </c>
      <c r="I227" s="15">
        <f t="shared" si="29"/>
        <v>3154.8186050169297</v>
      </c>
    </row>
    <row r="228" spans="1:9" x14ac:dyDescent="0.25">
      <c r="A228" s="3">
        <v>221</v>
      </c>
      <c r="B228" s="3">
        <v>-5.72665825453905E-2</v>
      </c>
      <c r="C228" s="12">
        <f t="shared" si="23"/>
        <v>0.14067914532534675</v>
      </c>
      <c r="D228" s="12">
        <f t="shared" si="24"/>
        <v>-6.12201040578698E-4</v>
      </c>
      <c r="E228" s="13">
        <f t="shared" si="25"/>
        <v>-0.1474537900560132</v>
      </c>
      <c r="F228" s="12">
        <f t="shared" si="26"/>
        <v>5.7675772058332908E-3</v>
      </c>
      <c r="G228" s="12">
        <f t="shared" si="27"/>
        <v>6.3034159751223784E-2</v>
      </c>
      <c r="H228" s="12">
        <f t="shared" si="28"/>
        <v>3.9733052955428002E-3</v>
      </c>
      <c r="I228" s="15">
        <f t="shared" si="29"/>
        <v>110.07145345413585</v>
      </c>
    </row>
    <row r="229" spans="1:9" x14ac:dyDescent="0.25">
      <c r="A229" s="4">
        <v>222</v>
      </c>
      <c r="B229" s="3">
        <v>0.58075105024668305</v>
      </c>
      <c r="C229" s="12">
        <f t="shared" si="23"/>
        <v>0.1360994926426102</v>
      </c>
      <c r="D229" s="12">
        <f t="shared" si="24"/>
        <v>-6.7171281521106584E-4</v>
      </c>
      <c r="E229" s="13">
        <f t="shared" si="25"/>
        <v>0.47491849047702034</v>
      </c>
      <c r="F229" s="12">
        <f t="shared" si="26"/>
        <v>0.61853630398151971</v>
      </c>
      <c r="G229" s="12">
        <f t="shared" si="27"/>
        <v>3.7785253734836655E-2</v>
      </c>
      <c r="H229" s="12">
        <f t="shared" si="28"/>
        <v>1.4277253998059873E-3</v>
      </c>
      <c r="I229" s="15">
        <f t="shared" si="29"/>
        <v>6.5062738532778859</v>
      </c>
    </row>
    <row r="230" spans="1:9" x14ac:dyDescent="0.25">
      <c r="A230" s="3">
        <v>223</v>
      </c>
      <c r="B230" s="3">
        <v>-9.8219947392601495E-2</v>
      </c>
      <c r="C230" s="12">
        <f t="shared" si="23"/>
        <v>0.1527165463560935</v>
      </c>
      <c r="D230" s="12">
        <f t="shared" si="24"/>
        <v>-4.123813172806505E-4</v>
      </c>
      <c r="E230" s="13">
        <f t="shared" si="25"/>
        <v>-0.38282920049771768</v>
      </c>
      <c r="F230" s="12">
        <f t="shared" si="26"/>
        <v>-0.26287486671350002</v>
      </c>
      <c r="G230" s="12">
        <f t="shared" si="27"/>
        <v>0.16465491932089854</v>
      </c>
      <c r="H230" s="12">
        <f t="shared" si="28"/>
        <v>2.7111242456571608E-2</v>
      </c>
      <c r="I230" s="15">
        <f t="shared" si="29"/>
        <v>167.63898137996898</v>
      </c>
    </row>
    <row r="231" spans="1:9" x14ac:dyDescent="0.25">
      <c r="A231" s="4">
        <v>224</v>
      </c>
      <c r="B231" s="3">
        <v>-0.48917147531558403</v>
      </c>
      <c r="C231" s="12">
        <f t="shared" si="23"/>
        <v>0.10035396243236611</v>
      </c>
      <c r="D231" s="12">
        <f t="shared" si="24"/>
        <v>-1.1916343563773515E-3</v>
      </c>
      <c r="E231" s="13">
        <f t="shared" si="25"/>
        <v>-0.19320723734005485</v>
      </c>
      <c r="F231" s="12">
        <f t="shared" si="26"/>
        <v>5.5923590315278549E-3</v>
      </c>
      <c r="G231" s="12">
        <f t="shared" si="27"/>
        <v>0.49476383434711191</v>
      </c>
      <c r="H231" s="12">
        <f t="shared" si="28"/>
        <v>0.24479125177785641</v>
      </c>
      <c r="I231" s="15">
        <f t="shared" si="29"/>
        <v>101.1432308124508</v>
      </c>
    </row>
    <row r="232" spans="1:9" x14ac:dyDescent="0.25">
      <c r="A232" s="3">
        <v>225</v>
      </c>
      <c r="B232" s="3">
        <v>0.93868105684054903</v>
      </c>
      <c r="C232" s="12">
        <f t="shared" si="23"/>
        <v>0.20254564775421807</v>
      </c>
      <c r="D232" s="12">
        <f t="shared" si="24"/>
        <v>3.5911543879608814E-4</v>
      </c>
      <c r="E232" s="13">
        <f t="shared" si="25"/>
        <v>-5.2556244677989541E-2</v>
      </c>
      <c r="F232" s="12">
        <f t="shared" si="26"/>
        <v>-4.5921987714016052E-2</v>
      </c>
      <c r="G232" s="12">
        <f t="shared" si="27"/>
        <v>0.98460304455456504</v>
      </c>
      <c r="H232" s="12">
        <f t="shared" si="28"/>
        <v>0.9694431553461188</v>
      </c>
      <c r="I232" s="15">
        <f t="shared" si="29"/>
        <v>104.89218221454071</v>
      </c>
    </row>
    <row r="233" spans="1:9" x14ac:dyDescent="0.25">
      <c r="A233" s="4">
        <v>226</v>
      </c>
      <c r="B233" s="3">
        <v>-2.6509298439830499E-2</v>
      </c>
      <c r="C233" s="12">
        <f t="shared" si="23"/>
        <v>0.18954186291751662</v>
      </c>
      <c r="D233" s="12">
        <f t="shared" si="24"/>
        <v>1.586719346636251E-4</v>
      </c>
      <c r="E233" s="13">
        <f t="shared" si="25"/>
        <v>-0.11410814046991458</v>
      </c>
      <c r="F233" s="12">
        <f t="shared" si="26"/>
        <v>0.10075641846966987</v>
      </c>
      <c r="G233" s="12">
        <f t="shared" si="27"/>
        <v>0.12726571690950036</v>
      </c>
      <c r="H233" s="12">
        <f t="shared" si="28"/>
        <v>1.6196562700489088E-2</v>
      </c>
      <c r="I233" s="15">
        <f t="shared" si="29"/>
        <v>480.07953585932057</v>
      </c>
    </row>
    <row r="234" spans="1:9" x14ac:dyDescent="0.25">
      <c r="A234" s="3">
        <v>227</v>
      </c>
      <c r="B234" s="3">
        <v>1.99933285722695</v>
      </c>
      <c r="C234" s="12">
        <f t="shared" si="23"/>
        <v>0.2229348643147743</v>
      </c>
      <c r="D234" s="12">
        <f t="shared" si="24"/>
        <v>6.5718687660253593E-4</v>
      </c>
      <c r="E234" s="13">
        <f t="shared" si="25"/>
        <v>1.5228596237905145</v>
      </c>
      <c r="F234" s="12">
        <f t="shared" si="26"/>
        <v>1.6828154337736732</v>
      </c>
      <c r="G234" s="12">
        <f t="shared" si="27"/>
        <v>0.31651742345327682</v>
      </c>
      <c r="H234" s="12">
        <f t="shared" si="28"/>
        <v>0.10018327934950096</v>
      </c>
      <c r="I234" s="15">
        <f t="shared" si="29"/>
        <v>15.831151991984097</v>
      </c>
    </row>
    <row r="235" spans="1:9" x14ac:dyDescent="0.25">
      <c r="A235" s="4">
        <v>228</v>
      </c>
      <c r="B235" s="3">
        <v>-0.76836512777164401</v>
      </c>
      <c r="C235" s="12">
        <f t="shared" si="23"/>
        <v>0.21951089722634232</v>
      </c>
      <c r="D235" s="12">
        <f t="shared" si="24"/>
        <v>5.9596956712701821E-4</v>
      </c>
      <c r="E235" s="13">
        <f t="shared" si="25"/>
        <v>-0.95674167876139793</v>
      </c>
      <c r="F235" s="12">
        <f t="shared" si="26"/>
        <v>-0.72949699477131524</v>
      </c>
      <c r="G235" s="12">
        <f t="shared" si="27"/>
        <v>3.8868133000328764E-2</v>
      </c>
      <c r="H235" s="12">
        <f t="shared" si="28"/>
        <v>1.5107317629312459E-3</v>
      </c>
      <c r="I235" s="15">
        <f t="shared" si="29"/>
        <v>5.0585498476552759</v>
      </c>
    </row>
    <row r="236" spans="1:9" x14ac:dyDescent="0.25">
      <c r="A236" s="3">
        <v>229</v>
      </c>
      <c r="B236" s="3">
        <v>6.5607666207791293E-2</v>
      </c>
      <c r="C236" s="12">
        <f t="shared" si="23"/>
        <v>0.23075664614896357</v>
      </c>
      <c r="D236" s="12">
        <f t="shared" si="24"/>
        <v>7.5571625745943173E-4</v>
      </c>
      <c r="E236" s="13">
        <f t="shared" si="25"/>
        <v>-0.24639411811483694</v>
      </c>
      <c r="F236" s="12">
        <f t="shared" si="26"/>
        <v>-3.581880384453498E-2</v>
      </c>
      <c r="G236" s="12">
        <f t="shared" si="27"/>
        <v>0.10142647005232627</v>
      </c>
      <c r="H236" s="12">
        <f t="shared" si="28"/>
        <v>1.0287328827275437E-2</v>
      </c>
      <c r="I236" s="15">
        <f t="shared" si="29"/>
        <v>154.59545494438163</v>
      </c>
    </row>
    <row r="237" spans="1:9" x14ac:dyDescent="0.25">
      <c r="A237" s="4">
        <v>230</v>
      </c>
      <c r="B237" s="3">
        <v>-2.2034191565356201E-2</v>
      </c>
      <c r="C237" s="12">
        <f t="shared" si="23"/>
        <v>0.1965261764763705</v>
      </c>
      <c r="D237" s="12">
        <f t="shared" si="24"/>
        <v>2.3092346850864406E-4</v>
      </c>
      <c r="E237" s="13">
        <f t="shared" si="25"/>
        <v>4.8342580383228778E-2</v>
      </c>
      <c r="F237" s="12">
        <f t="shared" si="26"/>
        <v>0.31116757919704879</v>
      </c>
      <c r="G237" s="12">
        <f t="shared" si="27"/>
        <v>0.33320177076240498</v>
      </c>
      <c r="H237" s="12">
        <f t="shared" si="28"/>
        <v>0.11102342003920228</v>
      </c>
      <c r="I237" s="15">
        <f t="shared" si="29"/>
        <v>1512.2032944757077</v>
      </c>
    </row>
    <row r="238" spans="1:9" x14ac:dyDescent="0.25">
      <c r="A238" s="3">
        <v>231</v>
      </c>
      <c r="B238" s="3">
        <v>1.1334623594837401</v>
      </c>
      <c r="C238" s="12">
        <f t="shared" si="23"/>
        <v>0.29786899489930074</v>
      </c>
      <c r="D238" s="12">
        <f t="shared" si="24"/>
        <v>1.7476018928249681E-3</v>
      </c>
      <c r="E238" s="13">
        <f t="shared" si="25"/>
        <v>6.4229977385719478E-2</v>
      </c>
      <c r="F238" s="12">
        <f t="shared" si="26"/>
        <v>0.17049193134639126</v>
      </c>
      <c r="G238" s="12">
        <f t="shared" si="27"/>
        <v>0.96297042813734879</v>
      </c>
      <c r="H238" s="12">
        <f t="shared" si="28"/>
        <v>0.92731204546702883</v>
      </c>
      <c r="I238" s="15">
        <f t="shared" si="29"/>
        <v>84.95830673865116</v>
      </c>
    </row>
    <row r="239" spans="1:9" x14ac:dyDescent="0.25">
      <c r="A239" s="4">
        <v>232</v>
      </c>
      <c r="B239" s="3">
        <v>0.59676776767893303</v>
      </c>
      <c r="C239" s="12">
        <f t="shared" si="23"/>
        <v>0.35544573964306497</v>
      </c>
      <c r="D239" s="12">
        <f t="shared" si="24"/>
        <v>2.5850390355890572E-3</v>
      </c>
      <c r="E239" s="13">
        <f t="shared" si="25"/>
        <v>-0.18458786865149995</v>
      </c>
      <c r="F239" s="12">
        <f t="shared" si="26"/>
        <v>6.5061645289035103E-2</v>
      </c>
      <c r="G239" s="12">
        <f t="shared" si="27"/>
        <v>0.53170612238989789</v>
      </c>
      <c r="H239" s="12">
        <f t="shared" si="28"/>
        <v>0.28271140058690108</v>
      </c>
      <c r="I239" s="15">
        <f t="shared" si="29"/>
        <v>89.097660964149298</v>
      </c>
    </row>
    <row r="240" spans="1:9" x14ac:dyDescent="0.25">
      <c r="A240" s="3">
        <v>233</v>
      </c>
      <c r="B240" s="3">
        <v>7.2344826427980201E-3</v>
      </c>
      <c r="C240" s="12">
        <f t="shared" si="23"/>
        <v>0.33667981555077053</v>
      </c>
      <c r="D240" s="12">
        <f t="shared" si="24"/>
        <v>2.2647745886708046E-3</v>
      </c>
      <c r="E240" s="13">
        <f t="shared" si="25"/>
        <v>-0.16656290205546892</v>
      </c>
      <c r="F240" s="12">
        <f t="shared" si="26"/>
        <v>0.21057698862264082</v>
      </c>
      <c r="G240" s="12">
        <f t="shared" si="27"/>
        <v>0.2033425059798428</v>
      </c>
      <c r="H240" s="12">
        <f t="shared" si="28"/>
        <v>4.1348174738162401E-2</v>
      </c>
      <c r="I240" s="15">
        <f t="shared" si="29"/>
        <v>2810.7401181240198</v>
      </c>
    </row>
    <row r="241" spans="1:9" x14ac:dyDescent="0.25">
      <c r="A241" s="4">
        <v>234</v>
      </c>
      <c r="B241" s="3">
        <v>-0.17435062270221699</v>
      </c>
      <c r="C241" s="12">
        <f t="shared" si="23"/>
        <v>0.23518215129098008</v>
      </c>
      <c r="D241" s="12">
        <f t="shared" si="24"/>
        <v>7.0833800594388577E-4</v>
      </c>
      <c r="E241" s="13">
        <f t="shared" si="25"/>
        <v>0.3820511077076475</v>
      </c>
      <c r="F241" s="12">
        <f t="shared" si="26"/>
        <v>0.81386308061646173</v>
      </c>
      <c r="G241" s="12">
        <f t="shared" si="27"/>
        <v>0.98821370331867875</v>
      </c>
      <c r="H241" s="12">
        <f t="shared" si="28"/>
        <v>0.9765663234268176</v>
      </c>
      <c r="I241" s="15">
        <f t="shared" si="29"/>
        <v>566.79677307863892</v>
      </c>
    </row>
    <row r="242" spans="1:9" x14ac:dyDescent="0.25">
      <c r="A242" s="3">
        <v>235</v>
      </c>
      <c r="B242" s="3">
        <v>-5.0569101683746703E-2</v>
      </c>
      <c r="C242" s="12">
        <f t="shared" si="23"/>
        <v>0.24600929829621393</v>
      </c>
      <c r="D242" s="12">
        <f t="shared" si="24"/>
        <v>8.6012014093323516E-4</v>
      </c>
      <c r="E242" s="13">
        <f t="shared" si="25"/>
        <v>-0.37377286644335317</v>
      </c>
      <c r="F242" s="12">
        <f t="shared" si="26"/>
        <v>-0.14693871120079371</v>
      </c>
      <c r="G242" s="12">
        <f t="shared" si="27"/>
        <v>9.6369609517047011E-2</v>
      </c>
      <c r="H242" s="12">
        <f t="shared" si="28"/>
        <v>9.2871016384681176E-3</v>
      </c>
      <c r="I242" s="15">
        <f t="shared" si="29"/>
        <v>190.57014324622844</v>
      </c>
    </row>
    <row r="243" spans="1:9" x14ac:dyDescent="0.25">
      <c r="A243" s="4">
        <v>236</v>
      </c>
      <c r="B243" s="3">
        <v>-4.6342718541456801E-2</v>
      </c>
      <c r="C243" s="12">
        <f t="shared" si="23"/>
        <v>0.23636890397509949</v>
      </c>
      <c r="D243" s="12">
        <f t="shared" si="24"/>
        <v>7.0261242400252008E-4</v>
      </c>
      <c r="E243" s="13">
        <f t="shared" si="25"/>
        <v>-0.20260519778358752</v>
      </c>
      <c r="F243" s="12">
        <f t="shared" si="26"/>
        <v>5.366218109709231E-2</v>
      </c>
      <c r="G243" s="12">
        <f t="shared" si="27"/>
        <v>0.10000489963854911</v>
      </c>
      <c r="H243" s="12">
        <f t="shared" si="28"/>
        <v>1.0000979951716281E-2</v>
      </c>
      <c r="I243" s="15">
        <f t="shared" si="29"/>
        <v>215.79420195016775</v>
      </c>
    </row>
    <row r="244" spans="1:9" x14ac:dyDescent="0.25">
      <c r="A244" s="3">
        <v>237</v>
      </c>
      <c r="B244" s="3">
        <v>-4.8517517696153097E-2</v>
      </c>
      <c r="C244" s="12">
        <f t="shared" si="23"/>
        <v>0.21260307351028915</v>
      </c>
      <c r="D244" s="12">
        <f t="shared" si="24"/>
        <v>3.3558578067032711E-4</v>
      </c>
      <c r="E244" s="13">
        <f t="shared" si="25"/>
        <v>-7.4455501063477078E-2</v>
      </c>
      <c r="F244" s="12">
        <f t="shared" si="26"/>
        <v>0.18451527172111248</v>
      </c>
      <c r="G244" s="12">
        <f t="shared" si="27"/>
        <v>0.23303278941726557</v>
      </c>
      <c r="H244" s="12">
        <f t="shared" si="28"/>
        <v>5.4304280943591639E-2</v>
      </c>
      <c r="I244" s="15">
        <f t="shared" si="29"/>
        <v>480.30649646311667</v>
      </c>
    </row>
    <row r="245" spans="1:9" x14ac:dyDescent="0.25">
      <c r="A245" s="4">
        <v>238</v>
      </c>
      <c r="B245" s="3">
        <v>7.7335839666151804E-2</v>
      </c>
      <c r="C245" s="12">
        <f t="shared" si="23"/>
        <v>0.2106817179796957</v>
      </c>
      <c r="D245" s="12">
        <f t="shared" si="24"/>
        <v>3.0173166100137057E-4</v>
      </c>
      <c r="E245" s="13">
        <f t="shared" si="25"/>
        <v>-0.11612810294349565</v>
      </c>
      <c r="F245" s="12">
        <f t="shared" si="26"/>
        <v>9.8830518821044905E-2</v>
      </c>
      <c r="G245" s="12">
        <f t="shared" si="27"/>
        <v>2.1494679154893101E-2</v>
      </c>
      <c r="H245" s="12">
        <f t="shared" si="28"/>
        <v>4.6202123197179601E-4</v>
      </c>
      <c r="I245" s="15">
        <f t="shared" si="29"/>
        <v>27.793942947645849</v>
      </c>
    </row>
    <row r="246" spans="1:9" x14ac:dyDescent="0.25">
      <c r="A246" s="3">
        <v>239</v>
      </c>
      <c r="B246" s="3">
        <v>1.4758979835483399</v>
      </c>
      <c r="C246" s="12">
        <f t="shared" si="23"/>
        <v>0.18389921520299554</v>
      </c>
      <c r="D246" s="12">
        <f t="shared" si="24"/>
        <v>-1.0453185556415245E-4</v>
      </c>
      <c r="E246" s="13">
        <f t="shared" si="25"/>
        <v>1.4986192339687716</v>
      </c>
      <c r="F246" s="12">
        <f t="shared" si="26"/>
        <v>1.7338430734312116</v>
      </c>
      <c r="G246" s="12">
        <f t="shared" si="27"/>
        <v>0.25794508988287168</v>
      </c>
      <c r="H246" s="12">
        <f t="shared" si="28"/>
        <v>6.653566939468275E-2</v>
      </c>
      <c r="I246" s="15">
        <f t="shared" si="29"/>
        <v>17.477162565309733</v>
      </c>
    </row>
    <row r="247" spans="1:9" x14ac:dyDescent="0.25">
      <c r="A247" s="4">
        <v>240</v>
      </c>
      <c r="B247" s="3">
        <v>-0.77968636639604505</v>
      </c>
      <c r="C247" s="12">
        <f t="shared" si="23"/>
        <v>0.18308704939431314</v>
      </c>
      <c r="D247" s="12">
        <f t="shared" si="24"/>
        <v>-1.1514636486092619E-4</v>
      </c>
      <c r="E247" s="13">
        <f t="shared" si="25"/>
        <v>-0.95737501114943879</v>
      </c>
      <c r="F247" s="12">
        <f t="shared" si="26"/>
        <v>-0.7729469954139665</v>
      </c>
      <c r="G247" s="12">
        <f t="shared" si="27"/>
        <v>6.7393709820785519E-3</v>
      </c>
      <c r="H247" s="12">
        <f t="shared" si="28"/>
        <v>4.5419121234082425E-5</v>
      </c>
      <c r="I247" s="15">
        <f t="shared" si="29"/>
        <v>0.86436947887520954</v>
      </c>
    </row>
    <row r="248" spans="1:9" x14ac:dyDescent="0.25">
      <c r="A248" s="3">
        <v>241</v>
      </c>
      <c r="B248" s="3">
        <v>0.17500232030302901</v>
      </c>
      <c r="C248" s="12">
        <f t="shared" si="23"/>
        <v>0.20800647924523563</v>
      </c>
      <c r="D248" s="12">
        <f t="shared" si="24"/>
        <v>2.6037227837582503E-4</v>
      </c>
      <c r="E248" s="13">
        <f t="shared" si="25"/>
        <v>-0.22398817240171076</v>
      </c>
      <c r="F248" s="12">
        <f t="shared" si="26"/>
        <v>-6.3422215085384731E-2</v>
      </c>
      <c r="G248" s="12">
        <f t="shared" si="27"/>
        <v>0.23842453538841374</v>
      </c>
      <c r="H248" s="12">
        <f t="shared" si="28"/>
        <v>5.6846259075180955E-2</v>
      </c>
      <c r="I248" s="15">
        <f t="shared" si="29"/>
        <v>136.24078525105531</v>
      </c>
    </row>
    <row r="249" spans="1:9" x14ac:dyDescent="0.25">
      <c r="A249" s="4">
        <v>242</v>
      </c>
      <c r="B249" s="3">
        <v>-5.28441814012299E-2</v>
      </c>
      <c r="C249" s="12">
        <f t="shared" si="23"/>
        <v>0.17577422212626409</v>
      </c>
      <c r="D249" s="12">
        <f t="shared" si="24"/>
        <v>-2.2701716258438545E-4</v>
      </c>
      <c r="E249" s="13">
        <f t="shared" si="25"/>
        <v>1.9261677072602894E-2</v>
      </c>
      <c r="F249" s="12">
        <f t="shared" si="26"/>
        <v>0.25660943190684027</v>
      </c>
      <c r="G249" s="12">
        <f t="shared" si="27"/>
        <v>0.3094536133080702</v>
      </c>
      <c r="H249" s="12">
        <f t="shared" si="28"/>
        <v>9.5761538789420633E-2</v>
      </c>
      <c r="I249" s="15">
        <f t="shared" si="29"/>
        <v>585.59637996562458</v>
      </c>
    </row>
    <row r="250" spans="1:9" x14ac:dyDescent="0.25">
      <c r="A250" s="3">
        <v>243</v>
      </c>
      <c r="B250" s="3">
        <v>0.22100866911491099</v>
      </c>
      <c r="C250" s="12">
        <f t="shared" si="23"/>
        <v>0.17357651107405844</v>
      </c>
      <c r="D250" s="12">
        <f t="shared" si="24"/>
        <v>-2.565775709287044E-4</v>
      </c>
      <c r="E250" s="13">
        <f t="shared" si="25"/>
        <v>6.2466206354508447E-2</v>
      </c>
      <c r="F250" s="12">
        <f t="shared" si="26"/>
        <v>0.23977718234939918</v>
      </c>
      <c r="G250" s="12">
        <f t="shared" si="27"/>
        <v>1.8768513234488193E-2</v>
      </c>
      <c r="H250" s="12">
        <f t="shared" si="28"/>
        <v>3.5225708903315848E-4</v>
      </c>
      <c r="I250" s="15">
        <f t="shared" si="29"/>
        <v>8.4922068033130937</v>
      </c>
    </row>
    <row r="251" spans="1:9" x14ac:dyDescent="0.25">
      <c r="A251" s="4">
        <v>244</v>
      </c>
      <c r="B251" s="3">
        <v>0.29938803588738599</v>
      </c>
      <c r="C251" s="12">
        <f t="shared" si="23"/>
        <v>0.20593881046188414</v>
      </c>
      <c r="D251" s="12">
        <f t="shared" si="24"/>
        <v>2.3270558345261163E-4</v>
      </c>
      <c r="E251" s="13">
        <f t="shared" si="25"/>
        <v>-0.15539397377341477</v>
      </c>
      <c r="F251" s="12">
        <f t="shared" si="26"/>
        <v>-1.1267935148370212E-2</v>
      </c>
      <c r="G251" s="12">
        <f t="shared" si="27"/>
        <v>0.31065597103575621</v>
      </c>
      <c r="H251" s="12">
        <f t="shared" si="28"/>
        <v>9.6507132340168597E-2</v>
      </c>
      <c r="I251" s="15">
        <f t="shared" si="29"/>
        <v>103.76365579037655</v>
      </c>
    </row>
    <row r="252" spans="1:9" x14ac:dyDescent="0.25">
      <c r="A252" s="3">
        <v>245</v>
      </c>
      <c r="B252" s="3">
        <v>0.18129729538856801</v>
      </c>
      <c r="C252" s="12">
        <f t="shared" si="23"/>
        <v>0.22104882759220026</v>
      </c>
      <c r="D252" s="12">
        <f t="shared" si="24"/>
        <v>4.5586525665556427E-4</v>
      </c>
      <c r="E252" s="13">
        <f t="shared" si="25"/>
        <v>-0.15324770822102607</v>
      </c>
      <c r="F252" s="12">
        <f t="shared" si="26"/>
        <v>3.9608613989867841E-2</v>
      </c>
      <c r="G252" s="12">
        <f t="shared" si="27"/>
        <v>0.14168868139870017</v>
      </c>
      <c r="H252" s="12">
        <f t="shared" si="28"/>
        <v>2.0075682436502363E-2</v>
      </c>
      <c r="I252" s="15">
        <f t="shared" si="29"/>
        <v>78.152672435087283</v>
      </c>
    </row>
    <row r="253" spans="1:9" x14ac:dyDescent="0.25">
      <c r="A253" s="4">
        <v>246</v>
      </c>
      <c r="B253" s="3">
        <v>0.57493653483564999</v>
      </c>
      <c r="C253" s="12">
        <f t="shared" si="23"/>
        <v>0.21849966994816625</v>
      </c>
      <c r="D253" s="12">
        <f t="shared" si="24"/>
        <v>4.1078991314522052E-4</v>
      </c>
      <c r="E253" s="13">
        <f t="shared" si="25"/>
        <v>0.37936161221153031</v>
      </c>
      <c r="F253" s="12">
        <f t="shared" si="26"/>
        <v>0.60355580055650337</v>
      </c>
      <c r="G253" s="12">
        <f t="shared" si="27"/>
        <v>2.8619265720853382E-2</v>
      </c>
      <c r="H253" s="12">
        <f t="shared" si="28"/>
        <v>8.1906237040081349E-4</v>
      </c>
      <c r="I253" s="15">
        <f t="shared" si="29"/>
        <v>4.977813025751515</v>
      </c>
    </row>
    <row r="254" spans="1:9" x14ac:dyDescent="0.25">
      <c r="A254" s="3">
        <v>247</v>
      </c>
      <c r="B254" s="3">
        <v>0.490381217425711</v>
      </c>
      <c r="C254" s="12">
        <f t="shared" si="23"/>
        <v>0.28666104038212553</v>
      </c>
      <c r="D254" s="12">
        <f t="shared" si="24"/>
        <v>1.4270486209574313E-3</v>
      </c>
      <c r="E254" s="13">
        <f t="shared" si="25"/>
        <v>-0.3131360968772246</v>
      </c>
      <c r="F254" s="12">
        <f t="shared" si="26"/>
        <v>-0.1548624065820417</v>
      </c>
      <c r="G254" s="12">
        <f t="shared" si="27"/>
        <v>0.6452436240077527</v>
      </c>
      <c r="H254" s="12">
        <f t="shared" si="28"/>
        <v>0.41633933432265813</v>
      </c>
      <c r="I254" s="15">
        <f t="shared" si="29"/>
        <v>131.58000369488093</v>
      </c>
    </row>
    <row r="255" spans="1:9" x14ac:dyDescent="0.25">
      <c r="A255" s="4">
        <v>248</v>
      </c>
      <c r="B255" s="3">
        <v>0.101381384393001</v>
      </c>
      <c r="C255" s="12">
        <f t="shared" si="23"/>
        <v>0.28975743078630106</v>
      </c>
      <c r="D255" s="12">
        <f t="shared" si="24"/>
        <v>1.4520887477057027E-3</v>
      </c>
      <c r="E255" s="13">
        <f t="shared" si="25"/>
        <v>-0.20111113688760734</v>
      </c>
      <c r="F255" s="12">
        <f t="shared" si="26"/>
        <v>8.5482891219495455E-2</v>
      </c>
      <c r="G255" s="12">
        <f t="shared" si="27"/>
        <v>1.5898493173505543E-2</v>
      </c>
      <c r="H255" s="12">
        <f t="shared" si="28"/>
        <v>2.5276208518800234E-4</v>
      </c>
      <c r="I255" s="15">
        <f t="shared" si="29"/>
        <v>15.681866319634826</v>
      </c>
    </row>
    <row r="256" spans="1:9" x14ac:dyDescent="0.25">
      <c r="A256" s="3">
        <v>249</v>
      </c>
      <c r="B256" s="3">
        <v>0.89108851188881399</v>
      </c>
      <c r="C256" s="12">
        <f t="shared" si="23"/>
        <v>0.3620146413429266</v>
      </c>
      <c r="D256" s="12">
        <f t="shared" si="24"/>
        <v>2.5141655748395003E-3</v>
      </c>
      <c r="E256" s="13">
        <f t="shared" si="25"/>
        <v>-1.1084917044493811E-2</v>
      </c>
      <c r="F256" s="12">
        <f t="shared" si="26"/>
        <v>0.21675401847052966</v>
      </c>
      <c r="G256" s="12">
        <f t="shared" si="27"/>
        <v>0.67433449341828433</v>
      </c>
      <c r="H256" s="12">
        <f t="shared" si="28"/>
        <v>0.45472700901369417</v>
      </c>
      <c r="I256" s="15">
        <f t="shared" si="29"/>
        <v>75.675366074343998</v>
      </c>
    </row>
    <row r="257" spans="1:9" x14ac:dyDescent="0.25">
      <c r="A257" s="4">
        <v>250</v>
      </c>
      <c r="B257" s="3">
        <v>9.1229813250703506E-2</v>
      </c>
      <c r="C257" s="12">
        <f t="shared" si="23"/>
        <v>0.34802586339179165</v>
      </c>
      <c r="D257" s="12">
        <f t="shared" si="24"/>
        <v>2.2666214219498834E-3</v>
      </c>
      <c r="E257" s="13">
        <f t="shared" si="25"/>
        <v>-0.13089823739924286</v>
      </c>
      <c r="F257" s="12">
        <f t="shared" si="26"/>
        <v>0.24840070397427047</v>
      </c>
      <c r="G257" s="12">
        <f t="shared" si="27"/>
        <v>0.15717089072356696</v>
      </c>
      <c r="H257" s="12">
        <f t="shared" si="28"/>
        <v>2.4702688890839427E-2</v>
      </c>
      <c r="I257" s="15">
        <f t="shared" si="29"/>
        <v>172.28018464934758</v>
      </c>
    </row>
    <row r="258" spans="1:9" x14ac:dyDescent="0.25">
      <c r="A258" s="3">
        <v>251</v>
      </c>
      <c r="B258" s="3">
        <v>2.9506619033007402</v>
      </c>
      <c r="C258" s="12">
        <f t="shared" si="23"/>
        <v>0.46597625418815536</v>
      </c>
      <c r="D258" s="12">
        <f t="shared" si="24"/>
        <v>4.0018779625660911E-3</v>
      </c>
      <c r="E258" s="13">
        <f t="shared" si="25"/>
        <v>1.602156207558872</v>
      </c>
      <c r="F258" s="12">
        <f t="shared" si="26"/>
        <v>1.8489117187825133</v>
      </c>
      <c r="G258" s="12">
        <f t="shared" si="27"/>
        <v>1.1017501845182269</v>
      </c>
      <c r="H258" s="12">
        <f t="shared" si="28"/>
        <v>1.213853469085947</v>
      </c>
      <c r="I258" s="15">
        <f t="shared" si="29"/>
        <v>37.33908596189081</v>
      </c>
    </row>
    <row r="259" spans="1:9" x14ac:dyDescent="0.25">
      <c r="A259" s="4">
        <v>252</v>
      </c>
      <c r="B259" s="3">
        <v>-1.2237896234676</v>
      </c>
      <c r="C259" s="12">
        <f t="shared" si="23"/>
        <v>0.39265689398148873</v>
      </c>
      <c r="D259" s="12">
        <f t="shared" si="24"/>
        <v>2.8420593900276006E-3</v>
      </c>
      <c r="E259" s="13">
        <f t="shared" si="25"/>
        <v>-1.0265775193109019</v>
      </c>
      <c r="F259" s="12">
        <f t="shared" si="26"/>
        <v>-0.48739687899871736</v>
      </c>
      <c r="G259" s="12">
        <f t="shared" si="27"/>
        <v>0.7363927444688827</v>
      </c>
      <c r="H259" s="12">
        <f t="shared" si="28"/>
        <v>0.54227427410641316</v>
      </c>
      <c r="I259" s="15">
        <f t="shared" si="29"/>
        <v>60.173148255851252</v>
      </c>
    </row>
    <row r="260" spans="1:9" x14ac:dyDescent="0.25">
      <c r="A260" s="3">
        <v>253</v>
      </c>
      <c r="B260" s="3">
        <v>-0.260723145887649</v>
      </c>
      <c r="C260" s="12">
        <f t="shared" si="23"/>
        <v>0.35011439105148362</v>
      </c>
      <c r="D260" s="12">
        <f t="shared" si="24"/>
        <v>2.1612909552271098E-3</v>
      </c>
      <c r="E260" s="13">
        <f t="shared" si="25"/>
        <v>-0.26460735567814003</v>
      </c>
      <c r="F260" s="12">
        <f t="shared" si="26"/>
        <v>0.17151078096980554</v>
      </c>
      <c r="G260" s="12">
        <f t="shared" si="27"/>
        <v>0.43223392685745454</v>
      </c>
      <c r="H260" s="12">
        <f t="shared" si="28"/>
        <v>0.18682616752661535</v>
      </c>
      <c r="I260" s="15">
        <f t="shared" si="29"/>
        <v>165.78272150939489</v>
      </c>
    </row>
    <row r="261" spans="1:9" x14ac:dyDescent="0.25">
      <c r="A261" s="4">
        <v>254</v>
      </c>
      <c r="B261" s="3">
        <v>1.18195659169065</v>
      </c>
      <c r="C261" s="12">
        <f t="shared" si="23"/>
        <v>0.43736970143090104</v>
      </c>
      <c r="D261" s="12">
        <f t="shared" si="24"/>
        <v>3.4377012465899642E-3</v>
      </c>
      <c r="E261" s="13">
        <f t="shared" si="25"/>
        <v>9.5420824457253237E-2</v>
      </c>
      <c r="F261" s="12">
        <f t="shared" si="26"/>
        <v>0.37153735907931362</v>
      </c>
      <c r="G261" s="12">
        <f t="shared" si="27"/>
        <v>0.81041923261133642</v>
      </c>
      <c r="H261" s="12">
        <f t="shared" si="28"/>
        <v>0.65677933258634735</v>
      </c>
      <c r="I261" s="15">
        <f t="shared" si="29"/>
        <v>68.565904899445329</v>
      </c>
    </row>
    <row r="262" spans="1:9" x14ac:dyDescent="0.25">
      <c r="A262" s="3">
        <v>255</v>
      </c>
      <c r="B262" s="3">
        <v>1.1073227524362199</v>
      </c>
      <c r="C262" s="12">
        <f t="shared" si="23"/>
        <v>0.50423256273493422</v>
      </c>
      <c r="D262" s="12">
        <f t="shared" si="24"/>
        <v>4.3890786474516125E-3</v>
      </c>
      <c r="E262" s="13">
        <f t="shared" si="25"/>
        <v>0.11923172460592005</v>
      </c>
      <c r="F262" s="12">
        <f t="shared" si="26"/>
        <v>0.50327360903199947</v>
      </c>
      <c r="G262" s="12">
        <f t="shared" si="27"/>
        <v>0.60404914340422045</v>
      </c>
      <c r="H262" s="12">
        <f t="shared" si="28"/>
        <v>0.36487536764737249</v>
      </c>
      <c r="I262" s="15">
        <f t="shared" si="29"/>
        <v>54.550413786337579</v>
      </c>
    </row>
    <row r="263" spans="1:9" x14ac:dyDescent="0.25">
      <c r="A263" s="4">
        <v>256</v>
      </c>
      <c r="B263" s="3">
        <v>1.7249942791947701</v>
      </c>
      <c r="C263" s="12">
        <f t="shared" si="23"/>
        <v>0.65265713559889471</v>
      </c>
      <c r="D263" s="12">
        <f t="shared" si="24"/>
        <v>6.5496110606992446E-3</v>
      </c>
      <c r="E263" s="13">
        <f t="shared" si="25"/>
        <v>-2.648220644963932E-2</v>
      </c>
      <c r="F263" s="12">
        <f t="shared" si="26"/>
        <v>0.35322766760897106</v>
      </c>
      <c r="G263" s="12">
        <f t="shared" si="27"/>
        <v>1.3717666115857989</v>
      </c>
      <c r="H263" s="12">
        <f t="shared" si="28"/>
        <v>1.8817436366615841</v>
      </c>
      <c r="I263" s="15">
        <f t="shared" si="29"/>
        <v>79.52296585158193</v>
      </c>
    </row>
    <row r="264" spans="1:9" x14ac:dyDescent="0.25">
      <c r="A264" s="3">
        <v>257</v>
      </c>
      <c r="B264" s="3">
        <v>3.1057826574036098</v>
      </c>
      <c r="C264" s="12">
        <f t="shared" si="23"/>
        <v>0.93218822665092338</v>
      </c>
      <c r="D264" s="12">
        <f t="shared" si="24"/>
        <v>1.0644333260569187E-2</v>
      </c>
      <c r="E264" s="13">
        <f t="shared" si="25"/>
        <v>9.1070716371213722E-2</v>
      </c>
      <c r="F264" s="12">
        <f t="shared" si="26"/>
        <v>0.50595903843856793</v>
      </c>
      <c r="G264" s="12">
        <f t="shared" si="27"/>
        <v>2.5998236189650417</v>
      </c>
      <c r="H264" s="12">
        <f t="shared" si="28"/>
        <v>6.7590828497284861</v>
      </c>
      <c r="I264" s="15">
        <f t="shared" si="29"/>
        <v>83.709129251769895</v>
      </c>
    </row>
    <row r="265" spans="1:9" x14ac:dyDescent="0.25">
      <c r="A265" s="4">
        <v>258</v>
      </c>
      <c r="B265" s="3">
        <v>2.6273590088825798</v>
      </c>
      <c r="C265" s="12">
        <f t="shared" si="23"/>
        <v>1.0798748677712462</v>
      </c>
      <c r="D265" s="12">
        <f t="shared" si="24"/>
        <v>1.2699967878465491E-2</v>
      </c>
      <c r="E265" s="13">
        <f t="shared" si="25"/>
        <v>0.5020144777460096</v>
      </c>
      <c r="F265" s="12">
        <f t="shared" si="26"/>
        <v>1.322194172123023</v>
      </c>
      <c r="G265" s="12">
        <f t="shared" si="27"/>
        <v>1.3051648367595567</v>
      </c>
      <c r="H265" s="12">
        <f t="shared" si="28"/>
        <v>1.7034552511136003</v>
      </c>
      <c r="I265" s="15">
        <f t="shared" si="29"/>
        <v>49.675922945705295</v>
      </c>
    </row>
    <row r="266" spans="1:9" x14ac:dyDescent="0.25">
      <c r="A266" s="3">
        <v>259</v>
      </c>
      <c r="B266" s="3">
        <v>-0.27749399538957098</v>
      </c>
      <c r="C266" s="12">
        <f t="shared" si="23"/>
        <v>0.98159689856269561</v>
      </c>
      <c r="D266" s="12">
        <f t="shared" si="24"/>
        <v>1.103529882216025E-2</v>
      </c>
      <c r="E266" s="13">
        <f t="shared" si="25"/>
        <v>-0.41246135057010402</v>
      </c>
      <c r="F266" s="12">
        <f t="shared" si="26"/>
        <v>0.77943873877248704</v>
      </c>
      <c r="G266" s="12">
        <f t="shared" si="27"/>
        <v>1.056932734162058</v>
      </c>
      <c r="H266" s="12">
        <f t="shared" si="28"/>
        <v>1.1171068045432837</v>
      </c>
      <c r="I266" s="15">
        <f t="shared" si="29"/>
        <v>380.88490263662862</v>
      </c>
    </row>
    <row r="267" spans="1:9" x14ac:dyDescent="0.25">
      <c r="A267" s="4">
        <v>260</v>
      </c>
      <c r="B267" s="3">
        <v>0.30913407100158202</v>
      </c>
      <c r="C267" s="12">
        <f t="shared" si="23"/>
        <v>0.94198156348781092</v>
      </c>
      <c r="D267" s="12">
        <f t="shared" si="24"/>
        <v>1.0275539313704576E-2</v>
      </c>
      <c r="E267" s="13">
        <f t="shared" si="25"/>
        <v>-0.2464434542254626</v>
      </c>
      <c r="F267" s="12">
        <f t="shared" si="26"/>
        <v>0.79152106049724846</v>
      </c>
      <c r="G267" s="12">
        <f t="shared" si="27"/>
        <v>0.48238698949566644</v>
      </c>
      <c r="H267" s="12">
        <f t="shared" si="28"/>
        <v>0.2326972076346922</v>
      </c>
      <c r="I267" s="15">
        <f t="shared" si="29"/>
        <v>156.04458865784412</v>
      </c>
    </row>
    <row r="268" spans="1:9" x14ac:dyDescent="0.25">
      <c r="A268" s="3">
        <v>261</v>
      </c>
      <c r="B268" s="3">
        <v>1.5122928237754001</v>
      </c>
      <c r="C268" s="12">
        <f t="shared" si="23"/>
        <v>1.0122247697934452</v>
      </c>
      <c r="D268" s="12">
        <f t="shared" si="24"/>
        <v>1.1175054318583523E-2</v>
      </c>
      <c r="E268" s="13">
        <f t="shared" si="25"/>
        <v>4.2586144913283296E-2</v>
      </c>
      <c r="F268" s="12">
        <f t="shared" si="26"/>
        <v>0.94117218575702177</v>
      </c>
      <c r="G268" s="12">
        <f t="shared" si="27"/>
        <v>0.57112063801837831</v>
      </c>
      <c r="H268" s="12">
        <f t="shared" si="28"/>
        <v>0.32617878317051952</v>
      </c>
      <c r="I268" s="15">
        <f t="shared" si="29"/>
        <v>37.765215111752653</v>
      </c>
    </row>
    <row r="269" spans="1:9" x14ac:dyDescent="0.25">
      <c r="A269" s="4">
        <v>262</v>
      </c>
      <c r="B269" s="3">
        <v>0.16936690131425799</v>
      </c>
      <c r="C269" s="12">
        <f t="shared" si="23"/>
        <v>0.94747068214518337</v>
      </c>
      <c r="D269" s="12">
        <f t="shared" si="24"/>
        <v>1.0036117189080842E-2</v>
      </c>
      <c r="E269" s="13">
        <f t="shared" si="25"/>
        <v>-0.19885481945956951</v>
      </c>
      <c r="F269" s="12">
        <f t="shared" si="26"/>
        <v>0.8925015867127859</v>
      </c>
      <c r="G269" s="12">
        <f t="shared" si="27"/>
        <v>0.72313468539852788</v>
      </c>
      <c r="H269" s="12">
        <f t="shared" si="28"/>
        <v>0.52292377322642791</v>
      </c>
      <c r="I269" s="15">
        <f t="shared" si="29"/>
        <v>426.9634029949932</v>
      </c>
    </row>
    <row r="270" spans="1:9" x14ac:dyDescent="0.25">
      <c r="A270" s="3">
        <v>263</v>
      </c>
      <c r="B270" s="3">
        <v>1.76583902252337</v>
      </c>
      <c r="C270" s="12">
        <f t="shared" si="23"/>
        <v>0.87415528097543871</v>
      </c>
      <c r="D270" s="12">
        <f t="shared" si="24"/>
        <v>8.7858444136984584E-3</v>
      </c>
      <c r="E270" s="13">
        <f t="shared" si="25"/>
        <v>1.5275565986277233</v>
      </c>
      <c r="F270" s="12">
        <f t="shared" si="26"/>
        <v>2.5596630068931363</v>
      </c>
      <c r="G270" s="12">
        <f t="shared" si="27"/>
        <v>0.79382398436976631</v>
      </c>
      <c r="H270" s="12">
        <f t="shared" si="28"/>
        <v>0.63015651816069096</v>
      </c>
      <c r="I270" s="15">
        <f t="shared" si="29"/>
        <v>44.95449326039914</v>
      </c>
    </row>
    <row r="271" spans="1:9" x14ac:dyDescent="0.25">
      <c r="A271" s="4">
        <v>264</v>
      </c>
      <c r="B271" s="3">
        <v>-0.77273258341314699</v>
      </c>
      <c r="C271" s="12">
        <f t="shared" si="23"/>
        <v>0.81688602549254197</v>
      </c>
      <c r="D271" s="12">
        <f t="shared" si="24"/>
        <v>7.7950179152495302E-3</v>
      </c>
      <c r="E271" s="13">
        <f t="shared" si="25"/>
        <v>-1.0856968337183546</v>
      </c>
      <c r="F271" s="12">
        <f t="shared" si="26"/>
        <v>-0.14363639392176475</v>
      </c>
      <c r="G271" s="12">
        <f t="shared" si="27"/>
        <v>0.62909618949138224</v>
      </c>
      <c r="H271" s="12">
        <f t="shared" si="28"/>
        <v>0.39576201563257712</v>
      </c>
      <c r="I271" s="15">
        <f t="shared" si="29"/>
        <v>81.411888536222293</v>
      </c>
    </row>
    <row r="272" spans="1:9" x14ac:dyDescent="0.25">
      <c r="A272" s="3">
        <v>265</v>
      </c>
      <c r="B272" s="3">
        <v>4.4402605466245797E-2</v>
      </c>
      <c r="C272" s="12">
        <f t="shared" si="23"/>
        <v>0.77053557977013387</v>
      </c>
      <c r="D272" s="12">
        <f t="shared" si="24"/>
        <v>6.9828359606846661E-3</v>
      </c>
      <c r="E272" s="13">
        <f t="shared" si="25"/>
        <v>-0.31306754563384359</v>
      </c>
      <c r="F272" s="12">
        <f t="shared" si="26"/>
        <v>0.56007368772965149</v>
      </c>
      <c r="G272" s="12">
        <f t="shared" si="27"/>
        <v>0.51567108226340574</v>
      </c>
      <c r="H272" s="12">
        <f t="shared" si="28"/>
        <v>0.26591666508271217</v>
      </c>
      <c r="I272" s="15">
        <f t="shared" si="29"/>
        <v>1161.3532063009484</v>
      </c>
    </row>
    <row r="273" spans="1:9" x14ac:dyDescent="0.25">
      <c r="A273" s="4">
        <v>266</v>
      </c>
      <c r="B273" s="3">
        <v>-0.20170781411821501</v>
      </c>
      <c r="C273" s="12">
        <f t="shared" si="23"/>
        <v>0.66468047502865846</v>
      </c>
      <c r="D273" s="12">
        <f t="shared" si="24"/>
        <v>5.2902668501522646E-3</v>
      </c>
      <c r="E273" s="13">
        <f t="shared" si="25"/>
        <v>-5.5691324711800577E-3</v>
      </c>
      <c r="F273" s="12">
        <f t="shared" si="26"/>
        <v>0.87293924018807179</v>
      </c>
      <c r="G273" s="12">
        <f t="shared" si="27"/>
        <v>1.0746470543062867</v>
      </c>
      <c r="H273" s="12">
        <f t="shared" si="28"/>
        <v>1.1548662913291792</v>
      </c>
      <c r="I273" s="15">
        <f t="shared" si="29"/>
        <v>532.77413123740848</v>
      </c>
    </row>
    <row r="274" spans="1:9" x14ac:dyDescent="0.25">
      <c r="A274" s="3">
        <v>267</v>
      </c>
      <c r="B274" s="3">
        <v>0.43798971703502798</v>
      </c>
      <c r="C274" s="12">
        <f t="shared" si="23"/>
        <v>0.63309340318659191</v>
      </c>
      <c r="D274" s="12">
        <f t="shared" si="24"/>
        <v>4.7371067697689825E-3</v>
      </c>
      <c r="E274" s="13">
        <f t="shared" si="25"/>
        <v>8.6226506476384232E-2</v>
      </c>
      <c r="F274" s="12">
        <f t="shared" si="26"/>
        <v>0.78920246648473069</v>
      </c>
      <c r="G274" s="12">
        <f t="shared" si="27"/>
        <v>0.35121274944970271</v>
      </c>
      <c r="H274" s="12">
        <f t="shared" si="28"/>
        <v>0.12335039537601965</v>
      </c>
      <c r="I274" s="15">
        <f t="shared" si="29"/>
        <v>80.187441802797991</v>
      </c>
    </row>
    <row r="275" spans="1:9" x14ac:dyDescent="0.25">
      <c r="A275" s="4">
        <v>268</v>
      </c>
      <c r="B275" s="3">
        <v>-6.2668548557650403E-2</v>
      </c>
      <c r="C275" s="12">
        <f t="shared" si="23"/>
        <v>0.56705874048960192</v>
      </c>
      <c r="D275" s="12">
        <f t="shared" si="24"/>
        <v>3.675530227767598E-3</v>
      </c>
      <c r="E275" s="13">
        <f t="shared" si="25"/>
        <v>-8.9822940122388686E-2</v>
      </c>
      <c r="F275" s="12">
        <f t="shared" si="26"/>
        <v>0.61134830350672165</v>
      </c>
      <c r="G275" s="12">
        <f t="shared" si="27"/>
        <v>0.67401685206437201</v>
      </c>
      <c r="H275" s="12">
        <f t="shared" si="28"/>
        <v>0.45429871686676554</v>
      </c>
      <c r="I275" s="15">
        <f t="shared" si="29"/>
        <v>1075.5265082361475</v>
      </c>
    </row>
    <row r="276" spans="1:9" x14ac:dyDescent="0.25">
      <c r="A276" s="3">
        <v>269</v>
      </c>
      <c r="B276" s="3">
        <v>0.119349249757466</v>
      </c>
      <c r="C276" s="12">
        <f t="shared" ref="C276:C290" si="30">$D$3 * (B276 - E264) + (1 - $D$3) * (C275 + D275)</f>
        <v>0.51377641829760223</v>
      </c>
      <c r="D276" s="12">
        <f t="shared" ref="D276:D290" si="31">$E$3 * (C276 - C275) + (1 - $E$3) * D275</f>
        <v>2.8211624414710887E-3</v>
      </c>
      <c r="E276" s="13">
        <f t="shared" ref="E276:E290" si="32">$F$3*(B276-C276)+(1-$F$3)*E264</f>
        <v>4.0093438455521983E-2</v>
      </c>
      <c r="F276" s="12">
        <f t="shared" si="26"/>
        <v>0.66180498708858315</v>
      </c>
      <c r="G276" s="12">
        <f t="shared" si="27"/>
        <v>0.54245573733111718</v>
      </c>
      <c r="H276" s="12">
        <f t="shared" si="28"/>
        <v>0.294258226963446</v>
      </c>
      <c r="I276" s="15">
        <f t="shared" si="29"/>
        <v>454.51122519283649</v>
      </c>
    </row>
    <row r="277" spans="1:9" x14ac:dyDescent="0.25">
      <c r="A277" s="4">
        <v>270</v>
      </c>
      <c r="B277" s="3">
        <v>0.68112048954660598</v>
      </c>
      <c r="C277" s="12">
        <f t="shared" si="30"/>
        <v>0.48116096600053326</v>
      </c>
      <c r="D277" s="12">
        <f t="shared" si="31"/>
        <v>2.289613220392988E-3</v>
      </c>
      <c r="E277" s="13">
        <f t="shared" si="32"/>
        <v>0.47029870755501624</v>
      </c>
      <c r="F277" s="12">
        <f t="shared" ref="F277:F289" si="33">C276+D276+E265</f>
        <v>1.0186120584850831</v>
      </c>
      <c r="G277" s="12">
        <f t="shared" ref="G277:G290" si="34">ABS(B277-F277)</f>
        <v>0.33749156893847709</v>
      </c>
      <c r="H277" s="12">
        <f t="shared" ref="H277:H290" si="35">(B277-F277)^2</f>
        <v>0.11390055910455484</v>
      </c>
      <c r="I277" s="15">
        <f t="shared" ref="I277:I290" si="36">ABS((B277 - F277) / B277) * 100</f>
        <v>49.549466521427277</v>
      </c>
    </row>
    <row r="278" spans="1:9" x14ac:dyDescent="0.25">
      <c r="A278" s="3">
        <v>271</v>
      </c>
      <c r="B278" s="3">
        <v>0.20090974839213099</v>
      </c>
      <c r="C278" s="12">
        <f t="shared" si="30"/>
        <v>0.49709223379376366</v>
      </c>
      <c r="D278" s="12">
        <f t="shared" si="31"/>
        <v>2.4942380389855493E-3</v>
      </c>
      <c r="E278" s="13">
        <f t="shared" si="32"/>
        <v>-0.40025206972741451</v>
      </c>
      <c r="F278" s="12">
        <f t="shared" si="33"/>
        <v>7.0989228650822245E-2</v>
      </c>
      <c r="G278" s="12">
        <f t="shared" si="34"/>
        <v>0.12992051974130875</v>
      </c>
      <c r="H278" s="12">
        <f t="shared" si="35"/>
        <v>1.6879341449851797E-2</v>
      </c>
      <c r="I278" s="15">
        <f t="shared" si="36"/>
        <v>64.666110420751153</v>
      </c>
    </row>
    <row r="279" spans="1:9" x14ac:dyDescent="0.25">
      <c r="A279" s="4">
        <v>272</v>
      </c>
      <c r="B279" s="3">
        <v>0.40636043832046997</v>
      </c>
      <c r="C279" s="12">
        <f t="shared" si="30"/>
        <v>0.51567430100763345</v>
      </c>
      <c r="D279" s="12">
        <f t="shared" si="31"/>
        <v>2.7355554766088129E-3</v>
      </c>
      <c r="E279" s="13">
        <f t="shared" si="32"/>
        <v>-0.23204484711394122</v>
      </c>
      <c r="F279" s="12">
        <f t="shared" si="33"/>
        <v>0.25314301760728664</v>
      </c>
      <c r="G279" s="12">
        <f t="shared" si="34"/>
        <v>0.15321742071318334</v>
      </c>
      <c r="H279" s="12">
        <f t="shared" si="35"/>
        <v>2.3475578010000622E-2</v>
      </c>
      <c r="I279" s="15">
        <f t="shared" si="36"/>
        <v>37.704807423293197</v>
      </c>
    </row>
    <row r="280" spans="1:9" x14ac:dyDescent="0.25">
      <c r="A280" s="3">
        <v>273</v>
      </c>
      <c r="B280" s="3">
        <v>0.345729112439561</v>
      </c>
      <c r="C280" s="12">
        <f t="shared" si="30"/>
        <v>0.49580683314365603</v>
      </c>
      <c r="D280" s="12">
        <f t="shared" si="31"/>
        <v>2.3965101265000194E-3</v>
      </c>
      <c r="E280" s="13">
        <f t="shared" si="32"/>
        <v>2.2356439023458571E-2</v>
      </c>
      <c r="F280" s="12">
        <f t="shared" si="33"/>
        <v>0.56099600139752559</v>
      </c>
      <c r="G280" s="12">
        <f t="shared" si="34"/>
        <v>0.21526688895796459</v>
      </c>
      <c r="H280" s="12">
        <f t="shared" si="35"/>
        <v>4.6339833481640655E-2</v>
      </c>
      <c r="I280" s="15">
        <f t="shared" si="36"/>
        <v>62.264611573778502</v>
      </c>
    </row>
    <row r="281" spans="1:9" x14ac:dyDescent="0.25">
      <c r="A281" s="4">
        <v>274</v>
      </c>
      <c r="B281" s="3">
        <v>-0.24488243298604001</v>
      </c>
      <c r="C281" s="12">
        <f t="shared" si="30"/>
        <v>0.44105909280651023</v>
      </c>
      <c r="D281" s="12">
        <f t="shared" si="31"/>
        <v>1.5393463695453323E-3</v>
      </c>
      <c r="E281" s="13">
        <f t="shared" si="32"/>
        <v>-0.24999892362453252</v>
      </c>
      <c r="F281" s="12">
        <f t="shared" si="33"/>
        <v>0.29934852381058652</v>
      </c>
      <c r="G281" s="12">
        <f t="shared" si="34"/>
        <v>0.54423095679662659</v>
      </c>
      <c r="H281" s="12">
        <f t="shared" si="35"/>
        <v>0.29618733433577166</v>
      </c>
      <c r="I281" s="15">
        <f t="shared" si="36"/>
        <v>222.24173051549658</v>
      </c>
    </row>
    <row r="282" spans="1:9" x14ac:dyDescent="0.25">
      <c r="A282" s="3">
        <v>275</v>
      </c>
      <c r="B282" s="3">
        <v>1.9210316428751999</v>
      </c>
      <c r="C282" s="12">
        <f t="shared" si="30"/>
        <v>0.43744048270855473</v>
      </c>
      <c r="D282" s="12">
        <f t="shared" si="31"/>
        <v>1.4619770225328197E-3</v>
      </c>
      <c r="E282" s="13">
        <f t="shared" si="32"/>
        <v>1.5229402275893102</v>
      </c>
      <c r="F282" s="12">
        <f t="shared" si="33"/>
        <v>1.9701550378037789</v>
      </c>
      <c r="G282" s="12">
        <f t="shared" si="34"/>
        <v>4.9123394928578978E-2</v>
      </c>
      <c r="H282" s="12">
        <f t="shared" si="35"/>
        <v>2.413107929309139E-3</v>
      </c>
      <c r="I282" s="15">
        <f t="shared" si="36"/>
        <v>2.5571361674738582</v>
      </c>
    </row>
    <row r="283" spans="1:9" x14ac:dyDescent="0.25">
      <c r="A283" s="4">
        <v>276</v>
      </c>
      <c r="B283" s="3">
        <v>-0.28691965969791899</v>
      </c>
      <c r="C283" s="12">
        <f t="shared" si="30"/>
        <v>0.47668930473146909</v>
      </c>
      <c r="D283" s="12">
        <f t="shared" si="31"/>
        <v>2.0287796975385426E-3</v>
      </c>
      <c r="E283" s="13">
        <f t="shared" si="32"/>
        <v>-1.0518776074430132</v>
      </c>
      <c r="F283" s="12">
        <f t="shared" si="33"/>
        <v>-0.64679437398726702</v>
      </c>
      <c r="G283" s="12">
        <f t="shared" si="34"/>
        <v>0.35987471428934803</v>
      </c>
      <c r="H283" s="12">
        <f t="shared" si="35"/>
        <v>0.12950980998483988</v>
      </c>
      <c r="I283" s="15">
        <f t="shared" si="36"/>
        <v>125.42699746271802</v>
      </c>
    </row>
    <row r="284" spans="1:9" x14ac:dyDescent="0.25">
      <c r="A284" s="3">
        <v>277</v>
      </c>
      <c r="B284" s="3">
        <v>0.40847264690696899</v>
      </c>
      <c r="C284" s="12">
        <f t="shared" si="30"/>
        <v>0.50421440578074717</v>
      </c>
      <c r="D284" s="12">
        <f t="shared" si="31"/>
        <v>2.4112245178146358E-3</v>
      </c>
      <c r="E284" s="13">
        <f t="shared" si="32"/>
        <v>-0.29024833802403671</v>
      </c>
      <c r="F284" s="12">
        <f t="shared" si="33"/>
        <v>0.16565053879516406</v>
      </c>
      <c r="G284" s="12">
        <f t="shared" si="34"/>
        <v>0.24282210811180494</v>
      </c>
      <c r="H284" s="12">
        <f t="shared" si="35"/>
        <v>5.8962576187861084E-2</v>
      </c>
      <c r="I284" s="15">
        <f t="shared" si="36"/>
        <v>59.446357045079814</v>
      </c>
    </row>
    <row r="285" spans="1:9" x14ac:dyDescent="0.25">
      <c r="A285" s="4">
        <v>278</v>
      </c>
      <c r="B285" s="3">
        <v>0.809915043335106</v>
      </c>
      <c r="C285" s="12">
        <f t="shared" si="30"/>
        <v>0.53905577757687284</v>
      </c>
      <c r="D285" s="12">
        <f t="shared" si="31"/>
        <v>2.8976767269893013E-3</v>
      </c>
      <c r="E285" s="13">
        <f t="shared" si="32"/>
        <v>2.3455849342908331E-2</v>
      </c>
      <c r="F285" s="12">
        <f t="shared" si="33"/>
        <v>0.50105649782738171</v>
      </c>
      <c r="G285" s="12">
        <f t="shared" si="34"/>
        <v>0.30885854550772429</v>
      </c>
      <c r="H285" s="12">
        <f t="shared" si="35"/>
        <v>9.5393601133147002E-2</v>
      </c>
      <c r="I285" s="15">
        <f t="shared" si="36"/>
        <v>38.134684378239491</v>
      </c>
    </row>
    <row r="286" spans="1:9" x14ac:dyDescent="0.25">
      <c r="A286" s="3">
        <v>279</v>
      </c>
      <c r="B286" s="3">
        <v>0.12745165568811101</v>
      </c>
      <c r="C286" s="12">
        <f t="shared" si="30"/>
        <v>0.48937698226918791</v>
      </c>
      <c r="D286" s="12">
        <f t="shared" si="31"/>
        <v>2.1090296464691878E-3</v>
      </c>
      <c r="E286" s="13">
        <f t="shared" si="32"/>
        <v>3.9170564005350815E-2</v>
      </c>
      <c r="F286" s="12">
        <f t="shared" si="33"/>
        <v>0.62817996078024629</v>
      </c>
      <c r="G286" s="12">
        <f t="shared" si="34"/>
        <v>0.50072830509213528</v>
      </c>
      <c r="H286" s="12">
        <f t="shared" si="35"/>
        <v>0.25072883552044251</v>
      </c>
      <c r="I286" s="15">
        <f t="shared" si="36"/>
        <v>392.87705003807525</v>
      </c>
    </row>
    <row r="287" spans="1:9" x14ac:dyDescent="0.25">
      <c r="A287" s="4">
        <v>280</v>
      </c>
      <c r="B287" s="3">
        <v>0.10832557997575799</v>
      </c>
      <c r="C287" s="12">
        <f t="shared" si="30"/>
        <v>0.46068557527481852</v>
      </c>
      <c r="D287" s="12">
        <f t="shared" si="31"/>
        <v>1.6470230968566092E-3</v>
      </c>
      <c r="E287" s="13">
        <f t="shared" si="32"/>
        <v>-0.11738933091593923</v>
      </c>
      <c r="F287" s="12">
        <f t="shared" si="33"/>
        <v>0.40166307179326843</v>
      </c>
      <c r="G287" s="12">
        <f t="shared" si="34"/>
        <v>0.29333749181751045</v>
      </c>
      <c r="H287" s="12">
        <f t="shared" si="35"/>
        <v>8.6046884105788007E-2</v>
      </c>
      <c r="I287" s="15">
        <f t="shared" si="36"/>
        <v>270.79244983793853</v>
      </c>
    </row>
    <row r="288" spans="1:9" x14ac:dyDescent="0.25">
      <c r="A288" s="3">
        <v>281</v>
      </c>
      <c r="B288" s="3">
        <v>0.249857763270908</v>
      </c>
      <c r="C288" s="12">
        <f t="shared" si="30"/>
        <v>0.43581292964826474</v>
      </c>
      <c r="D288" s="12">
        <f t="shared" si="31"/>
        <v>1.2492280660054533E-3</v>
      </c>
      <c r="E288" s="13">
        <f t="shared" si="32"/>
        <v>1.6358334948069719E-2</v>
      </c>
      <c r="F288" s="12">
        <f t="shared" si="33"/>
        <v>0.50242603682719711</v>
      </c>
      <c r="G288" s="12">
        <f t="shared" si="34"/>
        <v>0.25256827355628908</v>
      </c>
      <c r="H288" s="12">
        <f t="shared" si="35"/>
        <v>6.3790732807204473E-2</v>
      </c>
      <c r="I288" s="15">
        <f t="shared" si="36"/>
        <v>101.0848213198972</v>
      </c>
    </row>
    <row r="289" spans="1:9" x14ac:dyDescent="0.25">
      <c r="A289" s="4">
        <v>282</v>
      </c>
      <c r="B289" s="3">
        <v>0.58840823331977099</v>
      </c>
      <c r="C289" s="12">
        <f t="shared" si="30"/>
        <v>0.4035721313595711</v>
      </c>
      <c r="D289" s="12">
        <f t="shared" si="31"/>
        <v>7.4687767068496683E-4</v>
      </c>
      <c r="E289" s="13">
        <f t="shared" si="32"/>
        <v>0.44032513396756051</v>
      </c>
      <c r="F289" s="12">
        <f t="shared" si="33"/>
        <v>0.90736086526928639</v>
      </c>
      <c r="G289" s="12">
        <f t="shared" si="34"/>
        <v>0.3189526319495154</v>
      </c>
      <c r="H289" s="12">
        <f t="shared" si="35"/>
        <v>0.10173078142752302</v>
      </c>
      <c r="I289" s="15">
        <f t="shared" si="36"/>
        <v>54.206011046106539</v>
      </c>
    </row>
    <row r="290" spans="1:9" x14ac:dyDescent="0.25">
      <c r="A290" s="3">
        <v>283</v>
      </c>
      <c r="B290" s="3">
        <v>-0.163917825909276</v>
      </c>
      <c r="C290" s="12">
        <f t="shared" si="30"/>
        <v>0.38668060868298376</v>
      </c>
      <c r="D290" s="12">
        <f t="shared" si="31"/>
        <v>4.8230166547588238E-4</v>
      </c>
      <c r="E290" s="13">
        <f t="shared" si="32"/>
        <v>-0.41603843803822327</v>
      </c>
      <c r="F290" s="12">
        <f>C289+D289+E278</f>
        <v>4.0669393028415768E-3</v>
      </c>
      <c r="G290" s="12">
        <f t="shared" si="34"/>
        <v>0.16798476521211758</v>
      </c>
      <c r="H290" s="12">
        <f t="shared" si="35"/>
        <v>2.8218881343370271E-2</v>
      </c>
      <c r="I290" s="15">
        <f t="shared" si="36"/>
        <v>102.48108421416748</v>
      </c>
    </row>
    <row r="291" spans="1:9" x14ac:dyDescent="0.25">
      <c r="A291" s="28" t="s">
        <v>25</v>
      </c>
      <c r="F291" s="12">
        <f t="shared" ref="F291:F294" si="37">C290+D290+E279</f>
        <v>0.15511806323451841</v>
      </c>
    </row>
    <row r="292" spans="1:9" x14ac:dyDescent="0.25">
      <c r="A292" s="28" t="s">
        <v>26</v>
      </c>
      <c r="F292" s="12">
        <f t="shared" si="37"/>
        <v>2.2356439023458571E-2</v>
      </c>
    </row>
    <row r="293" spans="1:9" x14ac:dyDescent="0.25">
      <c r="A293" s="28" t="s">
        <v>27</v>
      </c>
      <c r="F293" s="12">
        <f t="shared" si="37"/>
        <v>-0.24999892362453252</v>
      </c>
    </row>
    <row r="294" spans="1:9" x14ac:dyDescent="0.25">
      <c r="A294" s="28" t="s">
        <v>32</v>
      </c>
      <c r="F294" s="12">
        <f t="shared" si="37"/>
        <v>1.5229402275893102</v>
      </c>
    </row>
    <row r="297" spans="1:9" x14ac:dyDescent="0.25">
      <c r="F297" s="10" t="s">
        <v>13</v>
      </c>
    </row>
    <row r="298" spans="1:9" x14ac:dyDescent="0.25">
      <c r="F298" s="10" t="s">
        <v>14</v>
      </c>
      <c r="G298" s="7">
        <f>AVERAGE(G20:G290)</f>
        <v>0.40581856722448589</v>
      </c>
    </row>
    <row r="299" spans="1:9" x14ac:dyDescent="0.25">
      <c r="F299" s="10" t="s">
        <v>15</v>
      </c>
      <c r="G299">
        <f>SQRT(AVERAGE(H20:H290))</f>
        <v>0.75384037132437864</v>
      </c>
    </row>
    <row r="300" spans="1:9" x14ac:dyDescent="0.25">
      <c r="F300" s="14" t="s">
        <v>16</v>
      </c>
      <c r="G300" s="8">
        <f>AVERAGE(I20:I290)</f>
        <v>304.98349439049832</v>
      </c>
    </row>
  </sheetData>
  <sheetProtection algorithmName="SHA-512" hashValue="0Su9DeTciiHQJ+nohDqy+ylnTAlsLoSiM6KOdlqtAbu7cwjBHeHma1yfjTxi3mcnPIpc3sBySAJPT03Ty0+kyQ==" saltValue="z3dHZdx4TGA+hTPz13rXqQ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FB65-FAFA-473A-83A5-B582D569A4FE}">
  <dimension ref="A2:J295"/>
  <sheetViews>
    <sheetView showGridLines="0" workbookViewId="0">
      <selection activeCell="E291" sqref="E291"/>
    </sheetView>
  </sheetViews>
  <sheetFormatPr defaultColWidth="9.140625" defaultRowHeight="15" x14ac:dyDescent="0.25"/>
  <cols>
    <col min="3" max="3" width="16.5703125" style="1" customWidth="1"/>
    <col min="4" max="4" width="11.85546875" bestFit="1" customWidth="1"/>
    <col min="5" max="6" width="9.42578125" bestFit="1" customWidth="1"/>
    <col min="7" max="7" width="11.7109375" customWidth="1"/>
    <col min="8" max="8" width="12.28515625" customWidth="1"/>
    <col min="9" max="9" width="9.42578125" customWidth="1"/>
  </cols>
  <sheetData>
    <row r="2" spans="1:10" x14ac:dyDescent="0.25">
      <c r="D2" s="2" t="s">
        <v>1</v>
      </c>
      <c r="E2" s="2" t="s">
        <v>2</v>
      </c>
      <c r="F2" s="2" t="s">
        <v>3</v>
      </c>
      <c r="G2" s="2" t="s">
        <v>4</v>
      </c>
    </row>
    <row r="3" spans="1:10" x14ac:dyDescent="0.25">
      <c r="D3" s="3">
        <v>12</v>
      </c>
      <c r="E3" s="3">
        <v>0.36266439339119994</v>
      </c>
      <c r="F3" s="3">
        <v>4.6182898912457138E-2</v>
      </c>
      <c r="G3" s="3">
        <v>0.25162721518631026</v>
      </c>
    </row>
    <row r="6" spans="1:10" x14ac:dyDescent="0.25">
      <c r="C6" s="5" t="s">
        <v>0</v>
      </c>
    </row>
    <row r="7" spans="1:10" x14ac:dyDescent="0.25">
      <c r="A7" s="6" t="s">
        <v>6</v>
      </c>
      <c r="B7" s="6"/>
      <c r="C7" s="6" t="s">
        <v>5</v>
      </c>
      <c r="D7" s="6" t="s">
        <v>7</v>
      </c>
      <c r="E7" s="6" t="s">
        <v>8</v>
      </c>
      <c r="F7" s="6" t="s">
        <v>9</v>
      </c>
      <c r="G7" s="6" t="s">
        <v>10</v>
      </c>
      <c r="H7" s="9" t="s">
        <v>11</v>
      </c>
      <c r="I7" s="9" t="s">
        <v>12</v>
      </c>
      <c r="J7" s="6" t="s">
        <v>16</v>
      </c>
    </row>
    <row r="8" spans="1:10" x14ac:dyDescent="0.25">
      <c r="A8" s="3">
        <v>1</v>
      </c>
      <c r="B8">
        <v>0.7784529</v>
      </c>
      <c r="C8" s="3">
        <v>-0.23602370278299201</v>
      </c>
      <c r="D8" s="11"/>
      <c r="E8" s="11"/>
      <c r="F8" s="12">
        <f>B8-$D$19</f>
        <v>-8.7307508333333339E-2</v>
      </c>
      <c r="G8" s="11"/>
      <c r="H8" s="13"/>
      <c r="I8" s="13"/>
      <c r="J8" s="13"/>
    </row>
    <row r="9" spans="1:10" x14ac:dyDescent="0.25">
      <c r="A9" s="4">
        <v>2</v>
      </c>
      <c r="B9">
        <v>0.86787800000000004</v>
      </c>
      <c r="C9" s="3">
        <v>-3.2272591284078903E-2</v>
      </c>
      <c r="D9" s="11"/>
      <c r="E9" s="11"/>
      <c r="F9" s="12">
        <f t="shared" ref="F9:F18" si="0">B9-$D$19</f>
        <v>2.1175916666666961E-3</v>
      </c>
      <c r="G9" s="11"/>
      <c r="H9" s="13"/>
      <c r="I9" s="13"/>
      <c r="J9" s="13"/>
    </row>
    <row r="10" spans="1:10" x14ac:dyDescent="0.25">
      <c r="A10" s="3">
        <v>3</v>
      </c>
      <c r="B10">
        <v>1.2115399</v>
      </c>
      <c r="C10" s="3">
        <v>0.94452884944668403</v>
      </c>
      <c r="D10" s="11"/>
      <c r="E10" s="11"/>
      <c r="F10" s="12">
        <f t="shared" si="0"/>
        <v>0.34577949166666666</v>
      </c>
      <c r="G10" s="11"/>
      <c r="H10" s="13"/>
      <c r="I10" s="13"/>
      <c r="J10" s="13"/>
    </row>
    <row r="11" spans="1:10" x14ac:dyDescent="0.25">
      <c r="A11" s="4">
        <v>4</v>
      </c>
      <c r="B11">
        <v>0.54967619999999995</v>
      </c>
      <c r="C11" s="3">
        <v>-0.68143185166807396</v>
      </c>
      <c r="D11" s="11"/>
      <c r="E11" s="11"/>
      <c r="F11" s="12">
        <f t="shared" si="0"/>
        <v>-0.31608420833333339</v>
      </c>
      <c r="G11" s="11"/>
      <c r="H11" s="13"/>
      <c r="I11" s="13"/>
      <c r="J11" s="13"/>
    </row>
    <row r="12" spans="1:10" x14ac:dyDescent="0.25">
      <c r="A12" s="3">
        <v>5</v>
      </c>
      <c r="B12">
        <v>0.85256200000000004</v>
      </c>
      <c r="C12" s="3">
        <v>-6.8474914272319595E-2</v>
      </c>
      <c r="D12" s="11"/>
      <c r="E12" s="11"/>
      <c r="F12" s="12">
        <f t="shared" si="0"/>
        <v>-1.31984083333333E-2</v>
      </c>
      <c r="G12" s="11"/>
      <c r="H12" s="13"/>
      <c r="I12" s="13"/>
      <c r="J12" s="13"/>
    </row>
    <row r="13" spans="1:10" x14ac:dyDescent="0.25">
      <c r="A13" s="4">
        <v>6</v>
      </c>
      <c r="B13">
        <v>1.0038099</v>
      </c>
      <c r="C13" s="3">
        <v>0.31453435372215099</v>
      </c>
      <c r="D13" s="11"/>
      <c r="E13" s="11"/>
      <c r="F13" s="12">
        <f t="shared" si="0"/>
        <v>0.13804949166666669</v>
      </c>
      <c r="G13" s="11"/>
      <c r="H13" s="13"/>
      <c r="I13" s="13"/>
      <c r="J13" s="13"/>
    </row>
    <row r="14" spans="1:10" x14ac:dyDescent="0.25">
      <c r="A14" s="3">
        <v>7</v>
      </c>
      <c r="B14">
        <v>0.72034330000000002</v>
      </c>
      <c r="C14" s="3">
        <v>-0.35898511684002699</v>
      </c>
      <c r="D14" s="11"/>
      <c r="E14" s="11"/>
      <c r="F14" s="12">
        <f t="shared" si="0"/>
        <v>-0.14541710833333332</v>
      </c>
      <c r="G14" s="11"/>
      <c r="H14" s="13"/>
      <c r="I14" s="13"/>
      <c r="J14" s="13"/>
    </row>
    <row r="15" spans="1:10" x14ac:dyDescent="0.25">
      <c r="A15" s="4">
        <v>8</v>
      </c>
      <c r="B15">
        <v>0.84140800000000004</v>
      </c>
      <c r="C15" s="3">
        <v>-9.4493051576368697E-2</v>
      </c>
      <c r="D15" s="11"/>
      <c r="E15" s="11"/>
      <c r="F15" s="12">
        <f t="shared" si="0"/>
        <v>-2.4352408333333297E-2</v>
      </c>
      <c r="G15" s="11"/>
      <c r="H15" s="13"/>
      <c r="I15" s="13"/>
      <c r="J15" s="13"/>
    </row>
    <row r="16" spans="1:10" x14ac:dyDescent="0.25">
      <c r="A16" s="3">
        <v>9</v>
      </c>
      <c r="B16">
        <v>0.86095770000000005</v>
      </c>
      <c r="C16" s="3">
        <v>-4.8698667949326202E-2</v>
      </c>
      <c r="D16" s="11"/>
      <c r="E16" s="11"/>
      <c r="F16" s="12">
        <f t="shared" si="0"/>
        <v>-4.8027083333332943E-3</v>
      </c>
      <c r="G16" s="11"/>
      <c r="H16" s="13"/>
      <c r="I16" s="13"/>
      <c r="J16" s="13"/>
    </row>
    <row r="17" spans="1:10" x14ac:dyDescent="0.25">
      <c r="A17" s="4">
        <v>10</v>
      </c>
      <c r="B17">
        <v>0.77738339999999995</v>
      </c>
      <c r="C17" s="3">
        <v>-0.23835204936642099</v>
      </c>
      <c r="D17" s="11"/>
      <c r="E17" s="11"/>
      <c r="F17" s="12">
        <f t="shared" si="0"/>
        <v>-8.8377008333333396E-2</v>
      </c>
      <c r="G17" s="11"/>
      <c r="H17" s="13"/>
      <c r="I17" s="13"/>
      <c r="J17" s="13"/>
    </row>
    <row r="18" spans="1:10" x14ac:dyDescent="0.25">
      <c r="A18" s="3">
        <v>11</v>
      </c>
      <c r="B18">
        <v>1.300276</v>
      </c>
      <c r="C18" s="3">
        <v>1.2561858862754001</v>
      </c>
      <c r="D18" s="11"/>
      <c r="E18" s="11"/>
      <c r="F18" s="12">
        <f t="shared" si="0"/>
        <v>0.43451559166666665</v>
      </c>
      <c r="G18" s="11"/>
      <c r="H18" s="13"/>
      <c r="I18" s="13"/>
      <c r="J18" s="13"/>
    </row>
    <row r="19" spans="1:10" x14ac:dyDescent="0.25">
      <c r="A19" s="4">
        <v>12</v>
      </c>
      <c r="B19">
        <v>0.62483759999999999</v>
      </c>
      <c r="C19" s="3">
        <v>-0.54618107089850598</v>
      </c>
      <c r="D19" s="12">
        <f>AVERAGE(B8:B19)</f>
        <v>0.86576040833333334</v>
      </c>
      <c r="E19" s="12">
        <f>AVERAGE(B20:B31)-D19</f>
        <v>8.4475691666666464E-2</v>
      </c>
      <c r="F19" s="12">
        <f>B19-D19</f>
        <v>-0.24092280833333335</v>
      </c>
      <c r="G19" s="11"/>
      <c r="H19" s="13"/>
      <c r="I19" s="13"/>
      <c r="J19" s="13"/>
    </row>
    <row r="20" spans="1:10" x14ac:dyDescent="0.25">
      <c r="A20" s="3">
        <v>13</v>
      </c>
      <c r="B20">
        <v>0.86946869999999998</v>
      </c>
      <c r="C20" s="3">
        <v>-2.8480707506333702E-2</v>
      </c>
      <c r="D20" s="12">
        <f>$E$3 * (B20 - F8) + (1 - $E$3) * (D19 + E19)</f>
        <v>0.95260796442142093</v>
      </c>
      <c r="E20" s="12">
        <f>$F$3 * (D20 - D19) + (1 - $F$3) * E19</f>
        <v>8.4585231241475017E-2</v>
      </c>
      <c r="F20" s="13">
        <f>$G$3*(B20-D20)+(1-$G$3)*F8</f>
        <v>-8.625866472556154E-2</v>
      </c>
      <c r="G20" s="12">
        <f>D19+E19+F8</f>
        <v>0.86292859166666647</v>
      </c>
      <c r="H20" s="12">
        <f>ABS(B20-G20)</f>
        <v>6.5401083333335164E-3</v>
      </c>
      <c r="I20" s="12">
        <f>(B20-G20)^2</f>
        <v>4.2773017011738506E-5</v>
      </c>
      <c r="J20" s="15">
        <f>ABS((B20 - G20) / B20) * 100</f>
        <v>0.75219594832263847</v>
      </c>
    </row>
    <row r="21" spans="1:10" x14ac:dyDescent="0.25">
      <c r="A21" s="4">
        <v>14</v>
      </c>
      <c r="B21">
        <v>0.92698720000000001</v>
      </c>
      <c r="C21" s="3">
        <v>0.11276107432601799</v>
      </c>
      <c r="D21" s="12">
        <f>$E$3 * (B21 - F9) + (1 - $E$3) * (D20 + E20)</f>
        <v>0.99645743000049669</v>
      </c>
      <c r="E21" s="12">
        <f>$F$3 * (D21 - D20) + (1 - $F$3) * E20</f>
        <v>8.2703935493766895E-2</v>
      </c>
      <c r="F21" s="13">
        <f t="shared" ref="F21:F84" si="1">$G$3*(B21-D21)+(1-$G$3)*F9</f>
        <v>-1.5895852540695827E-2</v>
      </c>
      <c r="G21" s="12">
        <f t="shared" ref="G21:G84" si="2">D20+E20+F9</f>
        <v>1.0393107873295626</v>
      </c>
      <c r="H21" s="12">
        <f t="shared" ref="H21:H84" si="3">ABS(B21-G21)</f>
        <v>0.1123235873295626</v>
      </c>
      <c r="I21" s="12">
        <f t="shared" ref="I21:I84" si="4">(B21-G21)^2</f>
        <v>1.2616588270581876E-2</v>
      </c>
      <c r="J21" s="15">
        <f t="shared" ref="J21:J84" si="5">ABS((B21 - G21) / B21) * 100</f>
        <v>12.117059149205362</v>
      </c>
    </row>
    <row r="22" spans="1:10" x14ac:dyDescent="0.25">
      <c r="A22" s="3">
        <v>15</v>
      </c>
      <c r="B22">
        <v>0.77331450000000002</v>
      </c>
      <c r="C22" s="3">
        <v>-0.247187044467131</v>
      </c>
      <c r="D22" s="12">
        <f>$E$3 * (B22 - F10) + (1 - $E$3) * (D21 + E21)</f>
        <v>0.84283968795677733</v>
      </c>
      <c r="E22" s="12">
        <f>$F$3 * (D22 - D21) + (1 - $F$3) * E21</f>
        <v>7.1789915349230876E-2</v>
      </c>
      <c r="F22" s="13">
        <f t="shared" si="1"/>
        <v>0.24127753167917668</v>
      </c>
      <c r="G22" s="12">
        <v>0.77200000000000002</v>
      </c>
      <c r="H22" s="12">
        <f t="shared" si="3"/>
        <v>1.3144999999999962E-3</v>
      </c>
      <c r="I22" s="12">
        <f t="shared" si="4"/>
        <v>1.7279102499999902E-6</v>
      </c>
      <c r="J22" s="15">
        <f t="shared" si="5"/>
        <v>0.16998258793802473</v>
      </c>
    </row>
    <row r="23" spans="1:10" x14ac:dyDescent="0.25">
      <c r="A23" s="4">
        <v>16</v>
      </c>
      <c r="B23">
        <v>0.87814970000000003</v>
      </c>
      <c r="C23" s="3">
        <v>-7.68085539888279E-3</v>
      </c>
      <c r="D23" s="12">
        <f>$E$3 * (B23 - F11) + (1 - $E$3) * (D22 + E22)</f>
        <v>1.0160321289783112</v>
      </c>
      <c r="E23" s="12">
        <f>$F$3 * (D23 - D22) + (1 - $F$3) * E22</f>
        <v>7.6472977941822687E-2</v>
      </c>
      <c r="F23" s="13">
        <f t="shared" si="1"/>
        <v>-0.27124379085298383</v>
      </c>
      <c r="G23" s="12">
        <f t="shared" si="2"/>
        <v>0.59854539497267478</v>
      </c>
      <c r="H23" s="12">
        <f t="shared" si="3"/>
        <v>0.27960430502732525</v>
      </c>
      <c r="I23" s="12">
        <f t="shared" si="4"/>
        <v>7.8178567389813547E-2</v>
      </c>
      <c r="J23" s="15">
        <f t="shared" si="5"/>
        <v>31.840164043479746</v>
      </c>
    </row>
    <row r="24" spans="1:10" x14ac:dyDescent="0.25">
      <c r="A24" s="3">
        <v>17</v>
      </c>
      <c r="B24">
        <v>0.91537939999999995</v>
      </c>
      <c r="C24" s="3">
        <v>8.3598964154677893E-2</v>
      </c>
      <c r="D24" s="12">
        <f t="shared" ref="D24:D87" si="6">$E$3 * (B24 - F12) + (1 - $E$3) * (D23 + E23)</f>
        <v>1.0330545126178938</v>
      </c>
      <c r="E24" s="12">
        <f t="shared" ref="E24:E87" si="7">$F$3 * (D24 - D23) + (1 - $F$3) * E23</f>
        <v>7.3727377154876844E-2</v>
      </c>
      <c r="F24" s="13">
        <f t="shared" si="1"/>
        <v>-3.9487590484300922E-2</v>
      </c>
      <c r="G24" s="12">
        <f t="shared" si="2"/>
        <v>1.0793066985868007</v>
      </c>
      <c r="H24" s="12">
        <f t="shared" si="3"/>
        <v>0.16392729858680077</v>
      </c>
      <c r="I24" s="12">
        <f t="shared" si="4"/>
        <v>2.6872159221966136E-2</v>
      </c>
      <c r="J24" s="15">
        <f t="shared" si="5"/>
        <v>17.908126246537858</v>
      </c>
    </row>
    <row r="25" spans="1:10" x14ac:dyDescent="0.25">
      <c r="A25" s="4">
        <v>18</v>
      </c>
      <c r="B25">
        <v>1.0929971999999999</v>
      </c>
      <c r="C25" s="3">
        <v>0.56907813478416702</v>
      </c>
      <c r="D25" s="12">
        <f t="shared" si="6"/>
        <v>1.0517170384649877</v>
      </c>
      <c r="E25" s="12">
        <f t="shared" si="7"/>
        <v>7.1184322693300023E-2</v>
      </c>
      <c r="F25" s="13">
        <f t="shared" si="1"/>
        <v>0.11369969461019377</v>
      </c>
      <c r="G25" s="12">
        <f t="shared" si="2"/>
        <v>1.2448313814394374</v>
      </c>
      <c r="H25" s="12">
        <f t="shared" si="3"/>
        <v>0.1518341814394375</v>
      </c>
      <c r="I25" s="12">
        <f t="shared" si="4"/>
        <v>2.3053618653384025E-2</v>
      </c>
      <c r="J25" s="15">
        <f t="shared" si="5"/>
        <v>13.891543495210923</v>
      </c>
    </row>
    <row r="26" spans="1:10" x14ac:dyDescent="0.25">
      <c r="A26" s="3">
        <v>19</v>
      </c>
      <c r="B26">
        <v>0.83809800000000001</v>
      </c>
      <c r="C26" s="3">
        <v>-0.10215832598351</v>
      </c>
      <c r="D26" s="12">
        <f t="shared" si="6"/>
        <v>1.0723509303304533</v>
      </c>
      <c r="E26" s="12">
        <f t="shared" si="7"/>
        <v>6.8849757256396998E-2</v>
      </c>
      <c r="F26" s="13">
        <f t="shared" si="1"/>
        <v>-0.16777061883125538</v>
      </c>
      <c r="G26" s="12">
        <f t="shared" si="2"/>
        <v>0.97748425282495432</v>
      </c>
      <c r="H26" s="12">
        <f t="shared" si="3"/>
        <v>0.13938625282495432</v>
      </c>
      <c r="I26" s="12">
        <f t="shared" si="4"/>
        <v>1.9428527476582084E-2</v>
      </c>
      <c r="J26" s="15">
        <f t="shared" si="5"/>
        <v>16.631259449963405</v>
      </c>
    </row>
    <row r="27" spans="1:10" x14ac:dyDescent="0.25">
      <c r="A27" s="4">
        <v>20</v>
      </c>
      <c r="B27">
        <v>0.73146710000000004</v>
      </c>
      <c r="C27" s="3">
        <v>-0.33599652704481697</v>
      </c>
      <c r="D27" s="12">
        <f t="shared" si="6"/>
        <v>1.0014366559884884</v>
      </c>
      <c r="E27" s="12">
        <f t="shared" si="7"/>
        <v>6.239504911349239E-2</v>
      </c>
      <c r="F27" s="13">
        <f t="shared" si="1"/>
        <v>-8.615636719980474E-2</v>
      </c>
      <c r="G27" s="12">
        <v>0.83</v>
      </c>
      <c r="H27" s="12">
        <f t="shared" si="3"/>
        <v>9.8532899999999923E-2</v>
      </c>
      <c r="I27" s="12">
        <f t="shared" si="4"/>
        <v>9.7087323824099851E-3</v>
      </c>
      <c r="J27" s="15">
        <f t="shared" si="5"/>
        <v>13.470585348267875</v>
      </c>
    </row>
    <row r="28" spans="1:10" x14ac:dyDescent="0.25">
      <c r="A28" s="3">
        <v>21</v>
      </c>
      <c r="B28">
        <v>0.92971789999999999</v>
      </c>
      <c r="C28" s="3">
        <v>0.119670563428247</v>
      </c>
      <c r="D28" s="12">
        <f t="shared" si="6"/>
        <v>1.0169351746336286</v>
      </c>
      <c r="E28" s="12">
        <f t="shared" si="7"/>
        <v>6.0229231387527518E-2</v>
      </c>
      <c r="F28" s="13">
        <f t="shared" si="1"/>
        <v>-2.5540456142264138E-2</v>
      </c>
      <c r="G28" s="12">
        <f t="shared" si="2"/>
        <v>1.0590289967686475</v>
      </c>
      <c r="H28" s="12">
        <f t="shared" si="3"/>
        <v>0.12931109676864749</v>
      </c>
      <c r="I28" s="12">
        <f t="shared" si="4"/>
        <v>1.6721359747510517E-2</v>
      </c>
      <c r="J28" s="15">
        <f t="shared" si="5"/>
        <v>13.908637960896256</v>
      </c>
    </row>
    <row r="29" spans="1:10" x14ac:dyDescent="0.25">
      <c r="A29" s="4">
        <v>22</v>
      </c>
      <c r="B29">
        <v>0.86773040000000001</v>
      </c>
      <c r="C29" s="3">
        <v>-3.26239426159146E-2</v>
      </c>
      <c r="D29" s="12">
        <f t="shared" si="6"/>
        <v>1.0332613433889419</v>
      </c>
      <c r="E29" s="12">
        <f t="shared" si="7"/>
        <v>5.8201660684036698E-2</v>
      </c>
      <c r="F29" s="13">
        <f t="shared" si="1"/>
        <v>-0.10779103815204161</v>
      </c>
      <c r="G29" s="12">
        <f t="shared" si="2"/>
        <v>0.98878739768782264</v>
      </c>
      <c r="H29" s="12">
        <f t="shared" si="3"/>
        <v>0.12105699768782263</v>
      </c>
      <c r="I29" s="12">
        <f t="shared" si="4"/>
        <v>1.4654796689189495E-2</v>
      </c>
      <c r="J29" s="15">
        <f t="shared" si="5"/>
        <v>13.950991885016665</v>
      </c>
    </row>
    <row r="30" spans="1:10" x14ac:dyDescent="0.25">
      <c r="A30" s="3">
        <v>23</v>
      </c>
      <c r="B30">
        <v>1.1075657999999999</v>
      </c>
      <c r="C30" s="3">
        <v>0.61285729443832104</v>
      </c>
      <c r="D30" s="12">
        <f t="shared" si="6"/>
        <v>0.93971958131894417</v>
      </c>
      <c r="E30" s="12">
        <f t="shared" si="7"/>
        <v>5.1193709530356873E-2</v>
      </c>
      <c r="F30" s="13">
        <f t="shared" si="1"/>
        <v>0.36741431996681789</v>
      </c>
      <c r="G30" s="12">
        <f t="shared" si="2"/>
        <v>1.5259785957396454</v>
      </c>
      <c r="H30" s="12">
        <f t="shared" si="3"/>
        <v>0.41841279573964552</v>
      </c>
      <c r="I30" s="12">
        <f t="shared" si="4"/>
        <v>0.17506926763866631</v>
      </c>
      <c r="J30" s="15">
        <f t="shared" si="5"/>
        <v>37.777691920393849</v>
      </c>
    </row>
    <row r="31" spans="1:10" x14ac:dyDescent="0.25">
      <c r="A31" s="4">
        <v>24</v>
      </c>
      <c r="B31">
        <v>1.4719572999999999</v>
      </c>
      <c r="C31" s="3">
        <v>-0.46878938389178598</v>
      </c>
      <c r="D31" s="12">
        <f t="shared" si="6"/>
        <v>1.2527449487607227</v>
      </c>
      <c r="E31" s="12">
        <f t="shared" si="7"/>
        <v>6.3285854519761126E-2</v>
      </c>
      <c r="F31" s="13">
        <f t="shared" si="1"/>
        <v>-0.12514027952076887</v>
      </c>
      <c r="G31" s="12">
        <f t="shared" si="2"/>
        <v>0.74999048251596767</v>
      </c>
      <c r="H31" s="12">
        <f t="shared" si="3"/>
        <v>0.72196681748403224</v>
      </c>
      <c r="I31" s="12">
        <f t="shared" si="4"/>
        <v>0.52123608554802192</v>
      </c>
      <c r="J31" s="15">
        <f t="shared" si="5"/>
        <v>49.048081590684205</v>
      </c>
    </row>
    <row r="32" spans="1:10" x14ac:dyDescent="0.25">
      <c r="A32" s="3">
        <v>25</v>
      </c>
      <c r="B32">
        <v>1.5053605000000001</v>
      </c>
      <c r="C32" s="3">
        <v>0.690445050154331</v>
      </c>
      <c r="D32" s="12">
        <f t="shared" si="6"/>
        <v>1.4159768892096378</v>
      </c>
      <c r="E32" s="12">
        <f t="shared" si="7"/>
        <v>6.7901654502923001E-2</v>
      </c>
      <c r="F32" s="13">
        <f t="shared" si="1"/>
        <v>-4.2062288068502984E-2</v>
      </c>
      <c r="G32" s="12">
        <f t="shared" si="2"/>
        <v>1.2297721385549223</v>
      </c>
      <c r="H32" s="12">
        <f t="shared" si="3"/>
        <v>0.27558836144507781</v>
      </c>
      <c r="I32" s="12">
        <f t="shared" si="4"/>
        <v>7.5948944963982856E-2</v>
      </c>
      <c r="J32" s="15">
        <f t="shared" si="5"/>
        <v>18.307133835720933</v>
      </c>
    </row>
    <row r="33" spans="1:10" x14ac:dyDescent="0.25">
      <c r="A33" s="4">
        <v>26</v>
      </c>
      <c r="B33">
        <v>1.4666256</v>
      </c>
      <c r="C33" s="3">
        <v>8.9162729944089492</v>
      </c>
      <c r="D33" s="12">
        <f t="shared" si="6"/>
        <v>1.48338637506594</v>
      </c>
      <c r="E33" s="12">
        <f t="shared" si="7"/>
        <v>6.7878924728068224E-2</v>
      </c>
      <c r="F33" s="13">
        <f t="shared" si="1"/>
        <v>-1.6113490587074925E-2</v>
      </c>
      <c r="G33" s="12">
        <f t="shared" si="2"/>
        <v>1.467982691171865</v>
      </c>
      <c r="H33" s="12">
        <f t="shared" si="3"/>
        <v>1.3570911718649992E-3</v>
      </c>
      <c r="I33" s="12">
        <f t="shared" si="4"/>
        <v>1.8416964487539166E-6</v>
      </c>
      <c r="J33" s="15">
        <f t="shared" si="5"/>
        <v>9.2531534419213676E-2</v>
      </c>
    </row>
    <row r="34" spans="1:10" x14ac:dyDescent="0.25">
      <c r="A34" s="3">
        <v>27</v>
      </c>
      <c r="B34">
        <v>1.4936126000000001</v>
      </c>
      <c r="C34" s="3">
        <v>0.70748470610168002</v>
      </c>
      <c r="D34" s="12">
        <f t="shared" si="6"/>
        <v>1.4428539487304946</v>
      </c>
      <c r="E34" s="12">
        <f t="shared" si="7"/>
        <v>6.2872174260939079E-2</v>
      </c>
      <c r="F34" s="13">
        <f t="shared" si="1"/>
        <v>0.19333779636127743</v>
      </c>
      <c r="G34" s="12">
        <f t="shared" si="2"/>
        <v>1.7925428314731848</v>
      </c>
      <c r="H34" s="12">
        <f t="shared" si="3"/>
        <v>0.29893023147318476</v>
      </c>
      <c r="I34" s="12">
        <f t="shared" si="4"/>
        <v>8.9359283288611827E-2</v>
      </c>
      <c r="J34" s="15">
        <f t="shared" si="5"/>
        <v>20.013906649768806</v>
      </c>
    </row>
    <row r="35" spans="1:10" x14ac:dyDescent="0.25">
      <c r="A35" s="4">
        <v>28</v>
      </c>
      <c r="B35">
        <v>1.4946309</v>
      </c>
      <c r="C35" s="3">
        <v>-0.24311391472376401</v>
      </c>
      <c r="D35" s="12">
        <f t="shared" si="6"/>
        <v>1.600072745546532</v>
      </c>
      <c r="E35" s="12">
        <f t="shared" si="7"/>
        <v>6.7229374793132943E-2</v>
      </c>
      <c r="F35" s="13">
        <f t="shared" si="1"/>
        <v>-0.22952350908304844</v>
      </c>
      <c r="G35" s="12">
        <f t="shared" si="2"/>
        <v>1.2344823321384497</v>
      </c>
      <c r="H35" s="12">
        <f t="shared" si="3"/>
        <v>0.26014856786155027</v>
      </c>
      <c r="I35" s="12">
        <f t="shared" si="4"/>
        <v>6.7677277360415622E-2</v>
      </c>
      <c r="J35" s="15">
        <f t="shared" si="5"/>
        <v>17.405539244608839</v>
      </c>
    </row>
    <row r="36" spans="1:10" x14ac:dyDescent="0.25">
      <c r="A36" s="3">
        <v>29</v>
      </c>
      <c r="B36">
        <v>0.93144930000000004</v>
      </c>
      <c r="C36" s="3">
        <v>0.124061343809053</v>
      </c>
      <c r="D36" s="12">
        <f t="shared" si="6"/>
        <v>1.4147552466754458</v>
      </c>
      <c r="E36" s="12">
        <f t="shared" si="7"/>
        <v>5.5566028056041238E-2</v>
      </c>
      <c r="F36" s="13">
        <f t="shared" si="1"/>
        <v>-0.15116436750124462</v>
      </c>
      <c r="G36" s="12">
        <v>0.93200000000000005</v>
      </c>
      <c r="H36" s="12">
        <f t="shared" si="3"/>
        <v>5.5070000000001507E-4</v>
      </c>
      <c r="I36" s="12">
        <f t="shared" si="4"/>
        <v>3.0327049000001659E-7</v>
      </c>
      <c r="J36" s="15">
        <f t="shared" si="5"/>
        <v>5.9122917371886477E-2</v>
      </c>
    </row>
    <row r="37" spans="1:10" x14ac:dyDescent="0.25">
      <c r="A37" s="4">
        <v>30</v>
      </c>
      <c r="B37">
        <v>1.1401554</v>
      </c>
      <c r="C37" s="3">
        <v>0.71313045099099603</v>
      </c>
      <c r="D37" s="12">
        <f t="shared" si="6"/>
        <v>1.3093470372789469</v>
      </c>
      <c r="E37" s="12">
        <f t="shared" si="7"/>
        <v>4.8131771120260708E-2</v>
      </c>
      <c r="F37" s="13">
        <f t="shared" si="1"/>
        <v>4.2516536566583087E-2</v>
      </c>
      <c r="G37" s="12">
        <f t="shared" si="2"/>
        <v>1.5840209693416809</v>
      </c>
      <c r="H37" s="12">
        <f t="shared" si="3"/>
        <v>0.44386556934168087</v>
      </c>
      <c r="I37" s="12">
        <f t="shared" si="4"/>
        <v>0.19701664364701452</v>
      </c>
      <c r="J37" s="15">
        <f t="shared" si="5"/>
        <v>38.930269447628</v>
      </c>
    </row>
    <row r="38" spans="1:10" x14ac:dyDescent="0.25">
      <c r="A38" s="3">
        <v>31</v>
      </c>
      <c r="B38">
        <v>0.71335079999999995</v>
      </c>
      <c r="C38" s="3">
        <v>-0.37330547436725797</v>
      </c>
      <c r="D38" s="12">
        <f t="shared" si="6"/>
        <v>1.1847209446741305</v>
      </c>
      <c r="E38" s="12">
        <f t="shared" si="7"/>
        <v>4.0153312163513429E-2</v>
      </c>
      <c r="F38" s="13">
        <f t="shared" si="1"/>
        <v>-0.24416452205098227</v>
      </c>
      <c r="G38" s="12">
        <v>0.72099999999999997</v>
      </c>
      <c r="H38" s="12">
        <f t="shared" si="3"/>
        <v>7.6492000000000226E-3</v>
      </c>
      <c r="I38" s="12">
        <f t="shared" si="4"/>
        <v>5.8510260640000346E-5</v>
      </c>
      <c r="J38" s="15">
        <f t="shared" si="5"/>
        <v>1.0722915008997009</v>
      </c>
    </row>
    <row r="39" spans="1:10" x14ac:dyDescent="0.25">
      <c r="A39" s="4">
        <v>32</v>
      </c>
      <c r="B39">
        <v>0.83787670000000003</v>
      </c>
      <c r="C39" s="3">
        <v>-0.102669754965166</v>
      </c>
      <c r="D39" s="12">
        <f t="shared" si="6"/>
        <v>1.11576986929055</v>
      </c>
      <c r="E39" s="12">
        <f t="shared" si="7"/>
        <v>3.5114555262520449E-2</v>
      </c>
      <c r="F39" s="13">
        <f t="shared" si="1"/>
        <v>-0.13440256475862766</v>
      </c>
      <c r="G39" s="12">
        <f t="shared" si="2"/>
        <v>1.1387178896378392</v>
      </c>
      <c r="H39" s="12">
        <f t="shared" si="3"/>
        <v>0.30084118963783912</v>
      </c>
      <c r="I39" s="12">
        <f t="shared" si="4"/>
        <v>9.0505421382710283E-2</v>
      </c>
      <c r="J39" s="15">
        <f t="shared" si="5"/>
        <v>35.905186244925908</v>
      </c>
    </row>
    <row r="40" spans="1:10" x14ac:dyDescent="0.25">
      <c r="A40" s="3">
        <v>33</v>
      </c>
      <c r="B40">
        <v>0.79299339999999996</v>
      </c>
      <c r="C40" s="3">
        <v>-0.20412167573607201</v>
      </c>
      <c r="D40" s="12">
        <f t="shared" si="6"/>
        <v>1.030352707267145</v>
      </c>
      <c r="E40" s="12">
        <f t="shared" si="7"/>
        <v>2.9548051147359693E-2</v>
      </c>
      <c r="F40" s="13">
        <f t="shared" si="1"/>
        <v>-7.8839843774781565E-2</v>
      </c>
      <c r="G40" s="12">
        <f t="shared" si="2"/>
        <v>1.1253439684108064</v>
      </c>
      <c r="H40" s="12">
        <f t="shared" si="3"/>
        <v>0.33235056841080646</v>
      </c>
      <c r="I40" s="12">
        <f t="shared" si="4"/>
        <v>0.11045690032298615</v>
      </c>
      <c r="J40" s="15">
        <f t="shared" si="5"/>
        <v>41.910887078102597</v>
      </c>
    </row>
    <row r="41" spans="1:10" x14ac:dyDescent="0.25">
      <c r="A41" s="4">
        <v>34</v>
      </c>
      <c r="B41">
        <v>0.88574470000000005</v>
      </c>
      <c r="C41" s="3">
        <v>1.06658355339182E-2</v>
      </c>
      <c r="D41" s="12">
        <f t="shared" si="6"/>
        <v>1.0358325285986238</v>
      </c>
      <c r="E41" s="12">
        <f t="shared" si="7"/>
        <v>2.8436510522771085E-2</v>
      </c>
      <c r="F41" s="13">
        <f t="shared" si="1"/>
        <v>-0.11843406174343402</v>
      </c>
      <c r="G41" s="12">
        <f t="shared" si="2"/>
        <v>0.95210972026246299</v>
      </c>
      <c r="H41" s="12">
        <f t="shared" si="3"/>
        <v>6.6365020262462937E-2</v>
      </c>
      <c r="I41" s="12">
        <f t="shared" si="4"/>
        <v>4.4043159144371161E-3</v>
      </c>
      <c r="J41" s="15">
        <f t="shared" si="5"/>
        <v>7.4925675832396097</v>
      </c>
    </row>
    <row r="42" spans="1:10" x14ac:dyDescent="0.25">
      <c r="A42" s="3">
        <v>35</v>
      </c>
      <c r="B42">
        <v>1.1691601</v>
      </c>
      <c r="C42" s="3">
        <v>0.80516395468998203</v>
      </c>
      <c r="D42" s="12">
        <f t="shared" si="6"/>
        <v>0.96906120061308743</v>
      </c>
      <c r="E42" s="12">
        <f t="shared" si="7"/>
        <v>2.4039536541268378E-2</v>
      </c>
      <c r="F42" s="13">
        <f t="shared" si="1"/>
        <v>0.32531320662857005</v>
      </c>
      <c r="G42" s="12">
        <f t="shared" si="2"/>
        <v>1.4316833590882128</v>
      </c>
      <c r="H42" s="12">
        <f t="shared" si="3"/>
        <v>0.26252325908821272</v>
      </c>
      <c r="I42" s="12">
        <f t="shared" si="4"/>
        <v>6.8918461562296862E-2</v>
      </c>
      <c r="J42" s="15">
        <f t="shared" si="5"/>
        <v>22.454004296606829</v>
      </c>
    </row>
    <row r="43" spans="1:10" x14ac:dyDescent="0.25">
      <c r="A43" s="4">
        <v>36</v>
      </c>
      <c r="B43">
        <v>0.60986050000000003</v>
      </c>
      <c r="C43" s="3">
        <v>-0.57394901311540403</v>
      </c>
      <c r="D43" s="12">
        <f t="shared" si="6"/>
        <v>0.89949707258487654</v>
      </c>
      <c r="E43" s="12">
        <f t="shared" si="7"/>
        <v>1.971664796262057E-2</v>
      </c>
      <c r="F43" s="13">
        <f t="shared" si="1"/>
        <v>-0.16653202365296144</v>
      </c>
      <c r="G43" s="12">
        <v>0.61</v>
      </c>
      <c r="H43" s="12">
        <f t="shared" si="3"/>
        <v>1.394999999999591E-4</v>
      </c>
      <c r="I43" s="12">
        <f t="shared" si="4"/>
        <v>1.9460249999988589E-8</v>
      </c>
      <c r="J43" s="15">
        <f t="shared" si="5"/>
        <v>2.2874083499416522E-2</v>
      </c>
    </row>
    <row r="44" spans="1:10" x14ac:dyDescent="0.25">
      <c r="A44" s="3">
        <v>37</v>
      </c>
      <c r="B44">
        <v>0.87575550000000002</v>
      </c>
      <c r="C44" s="3">
        <v>-1.34352938959948E-2</v>
      </c>
      <c r="D44" s="12">
        <f t="shared" si="6"/>
        <v>0.9187074655417875</v>
      </c>
      <c r="E44" s="12">
        <f t="shared" si="7"/>
        <v>1.9693267638867959E-2</v>
      </c>
      <c r="F44" s="13">
        <f t="shared" si="1"/>
        <v>-4.2286155133519555E-2</v>
      </c>
      <c r="G44" s="12">
        <f t="shared" si="2"/>
        <v>0.87715143247899408</v>
      </c>
      <c r="H44" s="12">
        <f t="shared" si="3"/>
        <v>1.3959324789940553E-3</v>
      </c>
      <c r="I44" s="12">
        <f t="shared" si="4"/>
        <v>1.9486274859104883E-6</v>
      </c>
      <c r="J44" s="15">
        <f t="shared" si="5"/>
        <v>0.15939751209031006</v>
      </c>
    </row>
    <row r="45" spans="1:10" x14ac:dyDescent="0.25">
      <c r="A45" s="4">
        <v>38</v>
      </c>
      <c r="B45">
        <v>0.93018369999999995</v>
      </c>
      <c r="C45" s="3">
        <v>0.120851075635589</v>
      </c>
      <c r="D45" s="12">
        <f t="shared" si="6"/>
        <v>0.94126449711589399</v>
      </c>
      <c r="E45" s="12">
        <f t="shared" si="7"/>
        <v>1.9825524559198223E-2</v>
      </c>
      <c r="F45" s="13">
        <f t="shared" si="1"/>
        <v>-1.4847127944035355E-2</v>
      </c>
      <c r="G45" s="12">
        <f t="shared" si="2"/>
        <v>0.92228724259358053</v>
      </c>
      <c r="H45" s="12">
        <f t="shared" si="3"/>
        <v>7.8964574064194215E-3</v>
      </c>
      <c r="I45" s="12">
        <f t="shared" si="4"/>
        <v>6.2354039571396134E-5</v>
      </c>
      <c r="J45" s="15">
        <f t="shared" si="5"/>
        <v>0.84891375826295612</v>
      </c>
    </row>
    <row r="46" spans="1:10" x14ac:dyDescent="0.25">
      <c r="A46" s="3">
        <v>39</v>
      </c>
      <c r="B46">
        <v>0.84773489999999996</v>
      </c>
      <c r="C46" s="3">
        <v>-7.9770484341740597E-2</v>
      </c>
      <c r="D46" s="12">
        <f t="shared" si="6"/>
        <v>0.84986342059805509</v>
      </c>
      <c r="E46" s="12">
        <f t="shared" si="7"/>
        <v>1.4688757685281221E-2</v>
      </c>
      <c r="F46" s="13">
        <f t="shared" si="1"/>
        <v>0.14415315136207593</v>
      </c>
      <c r="G46" s="12">
        <f t="shared" si="2"/>
        <v>1.1544278180363696</v>
      </c>
      <c r="H46" s="12">
        <f t="shared" si="3"/>
        <v>0.30669291803636967</v>
      </c>
      <c r="I46" s="12">
        <f t="shared" si="4"/>
        <v>9.4060545973663368E-2</v>
      </c>
      <c r="J46" s="15">
        <f t="shared" si="5"/>
        <v>36.177927561596164</v>
      </c>
    </row>
    <row r="47" spans="1:10" x14ac:dyDescent="0.25">
      <c r="A47" s="4">
        <v>40</v>
      </c>
      <c r="B47">
        <v>0.78679299999999996</v>
      </c>
      <c r="C47" s="3">
        <v>-0.21778223060075599</v>
      </c>
      <c r="D47" s="12">
        <f t="shared" si="6"/>
        <v>0.91959169725123524</v>
      </c>
      <c r="E47" s="12">
        <f t="shared" si="7"/>
        <v>1.7230642225965966E-2</v>
      </c>
      <c r="F47" s="13">
        <f t="shared" si="1"/>
        <v>-0.20518491404238942</v>
      </c>
      <c r="G47" s="12">
        <f t="shared" si="2"/>
        <v>0.63502866920028789</v>
      </c>
      <c r="H47" s="12">
        <f t="shared" si="3"/>
        <v>0.15176433079971208</v>
      </c>
      <c r="I47" s="12">
        <f t="shared" si="4"/>
        <v>2.3032412103084435E-2</v>
      </c>
      <c r="J47" s="15">
        <f t="shared" si="5"/>
        <v>19.288978269978518</v>
      </c>
    </row>
    <row r="48" spans="1:10" x14ac:dyDescent="0.25">
      <c r="A48" s="3">
        <v>41</v>
      </c>
      <c r="B48">
        <v>0.8902021</v>
      </c>
      <c r="C48" s="3">
        <v>2.14980478568754E-2</v>
      </c>
      <c r="D48" s="12">
        <f t="shared" si="6"/>
        <v>0.97473677224965294</v>
      </c>
      <c r="E48" s="12">
        <f t="shared" si="7"/>
        <v>1.8981640642019255E-2</v>
      </c>
      <c r="F48" s="13">
        <f t="shared" si="1"/>
        <v>-0.1343985228363741</v>
      </c>
      <c r="G48" s="12">
        <f t="shared" si="2"/>
        <v>0.78565797197595655</v>
      </c>
      <c r="H48" s="12">
        <f t="shared" si="3"/>
        <v>0.10454412802404345</v>
      </c>
      <c r="I48" s="12">
        <f t="shared" si="4"/>
        <v>1.0929474704307586E-2</v>
      </c>
      <c r="J48" s="15">
        <f t="shared" si="5"/>
        <v>11.743864457749925</v>
      </c>
    </row>
    <row r="49" spans="1:10" x14ac:dyDescent="0.25">
      <c r="A49" s="4">
        <v>42</v>
      </c>
      <c r="B49">
        <v>1.1610157000000001</v>
      </c>
      <c r="C49" s="3">
        <v>0.77905119738511897</v>
      </c>
      <c r="D49" s="12">
        <f t="shared" si="6"/>
        <v>1.0389719480937927</v>
      </c>
      <c r="E49" s="12">
        <f t="shared" si="7"/>
        <v>2.1071580083690106E-2</v>
      </c>
      <c r="F49" s="13">
        <f t="shared" si="1"/>
        <v>6.2527748294014779E-2</v>
      </c>
      <c r="G49" s="12">
        <f t="shared" si="2"/>
        <v>1.0362349494582552</v>
      </c>
      <c r="H49" s="12">
        <f t="shared" si="3"/>
        <v>0.12478075054174487</v>
      </c>
      <c r="I49" s="12">
        <f t="shared" si="4"/>
        <v>1.5570235705761161E-2</v>
      </c>
      <c r="J49" s="15">
        <f t="shared" si="5"/>
        <v>10.747550661179247</v>
      </c>
    </row>
    <row r="50" spans="1:10" x14ac:dyDescent="0.25">
      <c r="A50" s="3">
        <v>43</v>
      </c>
      <c r="B50">
        <v>0.76100469999999998</v>
      </c>
      <c r="C50" s="3">
        <v>-0.27369799444383203</v>
      </c>
      <c r="D50" s="12">
        <f t="shared" si="6"/>
        <v>1.0401425712333525</v>
      </c>
      <c r="E50" s="12">
        <f t="shared" si="7"/>
        <v>2.0152496200878178E-2</v>
      </c>
      <c r="F50" s="13">
        <f t="shared" si="1"/>
        <v>-0.25296476851148053</v>
      </c>
      <c r="G50" s="12">
        <f t="shared" si="2"/>
        <v>0.81587900612650044</v>
      </c>
      <c r="H50" s="12">
        <f t="shared" si="3"/>
        <v>5.4874306126500461E-2</v>
      </c>
      <c r="I50" s="12">
        <f t="shared" si="4"/>
        <v>3.0111894728648862E-3</v>
      </c>
      <c r="J50" s="15">
        <f t="shared" si="5"/>
        <v>7.2107709882081501</v>
      </c>
    </row>
    <row r="51" spans="1:10" x14ac:dyDescent="0.25">
      <c r="A51" s="4">
        <v>44</v>
      </c>
      <c r="B51">
        <v>0.97222500000000001</v>
      </c>
      <c r="C51" s="3">
        <v>0.22969679698870399</v>
      </c>
      <c r="D51" s="12">
        <f t="shared" si="6"/>
        <v>1.0770982144706824</v>
      </c>
      <c r="E51" s="12">
        <f t="shared" si="7"/>
        <v>2.0928514241873784E-2</v>
      </c>
      <c r="F51" s="13">
        <f t="shared" si="1"/>
        <v>-0.12697217657941093</v>
      </c>
      <c r="G51" s="12">
        <f t="shared" si="2"/>
        <v>0.92589250267560297</v>
      </c>
      <c r="H51" s="12">
        <f t="shared" si="3"/>
        <v>4.6332497324397037E-2</v>
      </c>
      <c r="I51" s="12">
        <f t="shared" si="4"/>
        <v>2.1467003083152588E-3</v>
      </c>
      <c r="J51" s="15">
        <f t="shared" si="5"/>
        <v>4.765614680181752</v>
      </c>
    </row>
    <row r="52" spans="1:10" x14ac:dyDescent="0.25">
      <c r="A52" s="3">
        <v>45</v>
      </c>
      <c r="B52">
        <v>1.1238497999999999</v>
      </c>
      <c r="C52" s="3">
        <v>0.66255239378191699</v>
      </c>
      <c r="D52" s="12">
        <f t="shared" si="6"/>
        <v>1.1359842413141528</v>
      </c>
      <c r="E52" s="12">
        <f t="shared" si="7"/>
        <v>2.2681502209321636E-2</v>
      </c>
      <c r="F52" s="13">
        <f t="shared" si="1"/>
        <v>-6.205494911573152E-2</v>
      </c>
      <c r="G52" s="12">
        <f t="shared" si="2"/>
        <v>1.0191868849377748</v>
      </c>
      <c r="H52" s="12">
        <f t="shared" si="3"/>
        <v>0.10466291506222514</v>
      </c>
      <c r="I52" s="12">
        <f t="shared" si="4"/>
        <v>1.0954325789322553E-2</v>
      </c>
      <c r="J52" s="15">
        <f t="shared" si="5"/>
        <v>9.3128917282563162</v>
      </c>
    </row>
    <row r="53" spans="1:10" x14ac:dyDescent="0.25">
      <c r="A53" s="4">
        <v>46</v>
      </c>
      <c r="B53">
        <v>1.35527</v>
      </c>
      <c r="C53" s="3">
        <v>1.4636839748138699</v>
      </c>
      <c r="D53" s="12">
        <f t="shared" si="6"/>
        <v>1.2729189240956997</v>
      </c>
      <c r="E53" s="12">
        <f t="shared" si="7"/>
        <v>2.7958045298115429E-2</v>
      </c>
      <c r="F53" s="13">
        <f t="shared" si="1"/>
        <v>-6.7911056706334655E-2</v>
      </c>
      <c r="G53" s="12">
        <f t="shared" si="2"/>
        <v>1.0402316817800403</v>
      </c>
      <c r="H53" s="12">
        <f t="shared" si="3"/>
        <v>0.31503831821995965</v>
      </c>
      <c r="I53" s="12">
        <f t="shared" si="4"/>
        <v>9.9249141946860561E-2</v>
      </c>
      <c r="J53" s="15">
        <f t="shared" si="5"/>
        <v>23.245428454843658</v>
      </c>
    </row>
    <row r="54" spans="1:10" x14ac:dyDescent="0.25">
      <c r="A54" s="3">
        <v>47</v>
      </c>
      <c r="B54">
        <v>1.2630923999999999</v>
      </c>
      <c r="C54" s="3">
        <v>1.1222167042489499</v>
      </c>
      <c r="D54" s="12">
        <f t="shared" si="6"/>
        <v>1.169194334710963</v>
      </c>
      <c r="E54" s="12">
        <f t="shared" si="7"/>
        <v>2.1876559492031249E-2</v>
      </c>
      <c r="F54" s="13">
        <f t="shared" si="1"/>
        <v>0.26708285906135693</v>
      </c>
      <c r="G54" s="12">
        <f t="shared" si="2"/>
        <v>1.6261901760223851</v>
      </c>
      <c r="H54" s="12">
        <f t="shared" si="3"/>
        <v>0.36309777602238524</v>
      </c>
      <c r="I54" s="12">
        <f t="shared" si="4"/>
        <v>0.13183999495240223</v>
      </c>
      <c r="J54" s="15">
        <f t="shared" si="5"/>
        <v>28.746731119780726</v>
      </c>
    </row>
    <row r="55" spans="1:10" x14ac:dyDescent="0.25">
      <c r="A55" s="4">
        <v>48</v>
      </c>
      <c r="B55">
        <v>0.77347060000000001</v>
      </c>
      <c r="C55" s="3">
        <v>-0.246848692912848</v>
      </c>
      <c r="D55" s="12">
        <f t="shared" si="6"/>
        <v>1.1000173721641888</v>
      </c>
      <c r="E55" s="12">
        <f t="shared" si="7"/>
        <v>1.7671443888089913E-2</v>
      </c>
      <c r="F55" s="13">
        <f t="shared" si="1"/>
        <v>-0.20679608920957937</v>
      </c>
      <c r="G55" s="12">
        <f t="shared" si="2"/>
        <v>1.0245388705500327</v>
      </c>
      <c r="H55" s="12">
        <f t="shared" si="3"/>
        <v>0.25106827055003267</v>
      </c>
      <c r="I55" s="12">
        <f t="shared" si="4"/>
        <v>6.3035276476984398E-2</v>
      </c>
      <c r="J55" s="15">
        <f t="shared" si="5"/>
        <v>32.459962996658525</v>
      </c>
    </row>
    <row r="56" spans="1:10" x14ac:dyDescent="0.25">
      <c r="A56" s="3">
        <v>49</v>
      </c>
      <c r="B56">
        <v>0.7709222</v>
      </c>
      <c r="C56" s="3">
        <v>-0.252364777146034</v>
      </c>
      <c r="D56" s="12">
        <f t="shared" si="6"/>
        <v>1.007264594393704</v>
      </c>
      <c r="E56" s="12">
        <f t="shared" si="7"/>
        <v>1.2571733221745193E-2</v>
      </c>
      <c r="F56" s="13">
        <f t="shared" si="1"/>
        <v>-9.1115986208088084E-2</v>
      </c>
      <c r="G56" s="12">
        <f t="shared" si="2"/>
        <v>1.075402660918759</v>
      </c>
      <c r="H56" s="12">
        <f t="shared" si="3"/>
        <v>0.30448046091875902</v>
      </c>
      <c r="I56" s="12">
        <f t="shared" si="4"/>
        <v>9.2708351081299933E-2</v>
      </c>
      <c r="J56" s="15">
        <f t="shared" si="5"/>
        <v>39.495614592336167</v>
      </c>
    </row>
    <row r="57" spans="1:10" x14ac:dyDescent="0.25">
      <c r="A57" s="4">
        <v>50</v>
      </c>
      <c r="B57">
        <v>1.0651972000000001</v>
      </c>
      <c r="C57" s="3">
        <v>0.48728743959614801</v>
      </c>
      <c r="D57" s="12">
        <f t="shared" si="6"/>
        <v>1.0416716255319129</v>
      </c>
      <c r="E57" s="12">
        <f t="shared" si="7"/>
        <v>1.3580150578144627E-2</v>
      </c>
      <c r="F57" s="13">
        <f t="shared" si="1"/>
        <v>-5.1915116968999659E-3</v>
      </c>
      <c r="G57" s="12">
        <f t="shared" si="2"/>
        <v>1.0049891996714138</v>
      </c>
      <c r="H57" s="12">
        <f t="shared" si="3"/>
        <v>6.0208000328586309E-2</v>
      </c>
      <c r="I57" s="12">
        <f t="shared" si="4"/>
        <v>3.625003303567049E-3</v>
      </c>
      <c r="J57" s="15">
        <f t="shared" si="5"/>
        <v>5.6522867623559572</v>
      </c>
    </row>
    <row r="58" spans="1:10" x14ac:dyDescent="0.25">
      <c r="A58" s="3">
        <v>51</v>
      </c>
      <c r="B58">
        <v>0.7847094</v>
      </c>
      <c r="C58" s="3">
        <v>-0.22235380877447999</v>
      </c>
      <c r="D58" s="12">
        <f t="shared" si="6"/>
        <v>0.90485647419733262</v>
      </c>
      <c r="E58" s="12">
        <f t="shared" si="7"/>
        <v>6.6344595530007794E-3</v>
      </c>
      <c r="F58" s="13">
        <f t="shared" si="1"/>
        <v>7.7648021631448308E-2</v>
      </c>
      <c r="G58" s="12">
        <f t="shared" si="2"/>
        <v>1.1994049274721335</v>
      </c>
      <c r="H58" s="12">
        <f t="shared" si="3"/>
        <v>0.41469552747213345</v>
      </c>
      <c r="I58" s="12">
        <f t="shared" si="4"/>
        <v>0.17197238050539099</v>
      </c>
      <c r="J58" s="15">
        <f t="shared" si="5"/>
        <v>52.847019224203692</v>
      </c>
    </row>
    <row r="59" spans="1:10" x14ac:dyDescent="0.25">
      <c r="A59" s="4">
        <v>52</v>
      </c>
      <c r="B59">
        <v>0.93461819999999995</v>
      </c>
      <c r="C59" s="3">
        <v>0.13211731330155499</v>
      </c>
      <c r="D59" s="12">
        <f t="shared" si="6"/>
        <v>0.99429163211977423</v>
      </c>
      <c r="E59" s="12">
        <f t="shared" si="7"/>
        <v>1.0458435835677521E-2</v>
      </c>
      <c r="F59" s="13">
        <f t="shared" si="1"/>
        <v>-0.16857026506856865</v>
      </c>
      <c r="G59" s="12">
        <f t="shared" si="2"/>
        <v>0.70630601970794404</v>
      </c>
      <c r="H59" s="12">
        <f t="shared" si="3"/>
        <v>0.22831218029205591</v>
      </c>
      <c r="I59" s="12">
        <f t="shared" si="4"/>
        <v>5.2126451669712241E-2</v>
      </c>
      <c r="J59" s="15">
        <f t="shared" si="5"/>
        <v>24.428390148196975</v>
      </c>
    </row>
    <row r="60" spans="1:10" x14ac:dyDescent="0.25">
      <c r="A60" s="3">
        <v>53</v>
      </c>
      <c r="B60">
        <v>0.90339769999999997</v>
      </c>
      <c r="C60" s="3">
        <v>5.38506185039875E-2</v>
      </c>
      <c r="D60" s="12">
        <f t="shared" si="6"/>
        <v>1.016734731669253</v>
      </c>
      <c r="E60" s="12">
        <f t="shared" si="7"/>
        <v>1.1011922348471797E-2</v>
      </c>
      <c r="F60" s="13">
        <f t="shared" si="1"/>
        <v>-0.12909887846632034</v>
      </c>
      <c r="G60" s="12">
        <f t="shared" si="2"/>
        <v>0.87035154511907764</v>
      </c>
      <c r="H60" s="12">
        <f t="shared" si="3"/>
        <v>3.3046154880922329E-2</v>
      </c>
      <c r="I60" s="12">
        <f t="shared" si="4"/>
        <v>1.0920483524139066E-3</v>
      </c>
      <c r="J60" s="15">
        <f t="shared" si="5"/>
        <v>3.6579852794535928</v>
      </c>
    </row>
    <row r="61" spans="1:10" x14ac:dyDescent="0.25">
      <c r="A61" s="4">
        <v>54</v>
      </c>
      <c r="B61">
        <v>1.1457166000000001</v>
      </c>
      <c r="C61" s="3">
        <v>0.730570369744035</v>
      </c>
      <c r="D61" s="12">
        <f t="shared" si="6"/>
        <v>1.0478535650106127</v>
      </c>
      <c r="E61" s="12">
        <f t="shared" si="7"/>
        <v>1.1940517786298111E-2</v>
      </c>
      <c r="F61" s="13">
        <f t="shared" si="1"/>
        <v>7.1419068082981277E-2</v>
      </c>
      <c r="G61" s="12">
        <f t="shared" si="2"/>
        <v>1.0902744023117394</v>
      </c>
      <c r="H61" s="12">
        <f t="shared" si="3"/>
        <v>5.5442197688260642E-2</v>
      </c>
      <c r="I61" s="12">
        <f t="shared" si="4"/>
        <v>3.0738372845041735E-3</v>
      </c>
      <c r="J61" s="15">
        <f t="shared" si="5"/>
        <v>4.8390847866095887</v>
      </c>
    </row>
    <row r="62" spans="1:10" x14ac:dyDescent="0.25">
      <c r="A62" s="3">
        <v>55</v>
      </c>
      <c r="B62">
        <v>0.77390159999999997</v>
      </c>
      <c r="C62" s="3">
        <v>-0.24591455587688299</v>
      </c>
      <c r="D62" s="12">
        <f t="shared" si="6"/>
        <v>1.0478523732698264</v>
      </c>
      <c r="E62" s="12">
        <f t="shared" si="7"/>
        <v>1.1389015022366847E-2</v>
      </c>
      <c r="F62" s="13">
        <f t="shared" si="1"/>
        <v>-0.25824541844670978</v>
      </c>
      <c r="G62" s="12">
        <f t="shared" si="2"/>
        <v>0.80682931428543025</v>
      </c>
      <c r="H62" s="12">
        <f t="shared" si="3"/>
        <v>3.2927714285430287E-2</v>
      </c>
      <c r="I62" s="12">
        <f t="shared" si="4"/>
        <v>1.0842343680629299E-3</v>
      </c>
      <c r="J62" s="15">
        <f t="shared" si="5"/>
        <v>4.2547675680513244</v>
      </c>
    </row>
    <row r="63" spans="1:10" x14ac:dyDescent="0.25">
      <c r="A63" s="4">
        <v>56</v>
      </c>
      <c r="B63">
        <v>0.93227099999999996</v>
      </c>
      <c r="C63" s="3">
        <v>0.12614791326566299</v>
      </c>
      <c r="D63" s="12">
        <f t="shared" si="6"/>
        <v>1.0592420368402922</v>
      </c>
      <c r="E63" s="12">
        <f t="shared" si="7"/>
        <v>1.138904497419814E-2</v>
      </c>
      <c r="F63" s="13">
        <f t="shared" si="1"/>
        <v>-0.12697188979003043</v>
      </c>
      <c r="G63" s="12">
        <f t="shared" si="2"/>
        <v>0.93226921171278221</v>
      </c>
      <c r="H63" s="12">
        <f t="shared" si="3"/>
        <v>1.7882872177521492E-6</v>
      </c>
      <c r="I63" s="12">
        <f t="shared" si="4"/>
        <v>3.1979711731757225E-12</v>
      </c>
      <c r="J63" s="15">
        <f t="shared" si="5"/>
        <v>1.9182053477499026E-4</v>
      </c>
    </row>
    <row r="64" spans="1:10" x14ac:dyDescent="0.25">
      <c r="A64" s="3">
        <v>57</v>
      </c>
      <c r="B64">
        <v>0.96015099999999998</v>
      </c>
      <c r="C64" s="3">
        <v>0.197967110860399</v>
      </c>
      <c r="D64" s="12">
        <f t="shared" si="6"/>
        <v>1.0530690104394067</v>
      </c>
      <c r="E64" s="12">
        <f t="shared" si="7"/>
        <v>1.0577977607189298E-2</v>
      </c>
      <c r="F64" s="13">
        <f t="shared" si="1"/>
        <v>-6.9820935288732233E-2</v>
      </c>
      <c r="G64" s="12">
        <f t="shared" si="2"/>
        <v>1.0085761326987588</v>
      </c>
      <c r="H64" s="12">
        <f t="shared" si="3"/>
        <v>4.842513269875881E-2</v>
      </c>
      <c r="I64" s="12">
        <f t="shared" si="4"/>
        <v>2.3449934768923998E-3</v>
      </c>
      <c r="J64" s="15">
        <f t="shared" si="5"/>
        <v>5.043491356959354</v>
      </c>
    </row>
    <row r="65" spans="1:10" x14ac:dyDescent="0.25">
      <c r="A65" s="4">
        <v>58</v>
      </c>
      <c r="B65">
        <v>1.0596341</v>
      </c>
      <c r="C65" s="3">
        <v>0.47119140311089602</v>
      </c>
      <c r="D65" s="12">
        <f t="shared" si="6"/>
        <v>1.0868205786223886</v>
      </c>
      <c r="E65" s="12">
        <f t="shared" si="7"/>
        <v>1.1648201198189795E-2</v>
      </c>
      <c r="F65" s="13">
        <f t="shared" si="1"/>
        <v>-5.7663644533433853E-2</v>
      </c>
      <c r="G65" s="12">
        <f t="shared" si="2"/>
        <v>0.99573593134026128</v>
      </c>
      <c r="H65" s="12">
        <f t="shared" si="3"/>
        <v>6.3898168659738741E-2</v>
      </c>
      <c r="I65" s="12">
        <f t="shared" si="4"/>
        <v>4.082975958068418E-3</v>
      </c>
      <c r="J65" s="15">
        <f t="shared" si="5"/>
        <v>6.0302106793032371</v>
      </c>
    </row>
    <row r="66" spans="1:10" x14ac:dyDescent="0.25">
      <c r="A66" s="3">
        <v>59</v>
      </c>
      <c r="B66">
        <v>1.2593139</v>
      </c>
      <c r="C66" s="3">
        <v>1.10887963110716</v>
      </c>
      <c r="D66" s="12">
        <f t="shared" si="6"/>
        <v>1.0599401346937087</v>
      </c>
      <c r="E66" s="12">
        <f t="shared" si="7"/>
        <v>9.8688366750616409E-3</v>
      </c>
      <c r="F66" s="13">
        <f t="shared" si="1"/>
        <v>0.25004540835698097</v>
      </c>
      <c r="G66" s="12">
        <f t="shared" si="2"/>
        <v>1.3655516388819353</v>
      </c>
      <c r="H66" s="12">
        <f t="shared" si="3"/>
        <v>0.10623773888193533</v>
      </c>
      <c r="I66" s="12">
        <f t="shared" si="4"/>
        <v>1.1286457162746273E-2</v>
      </c>
      <c r="J66" s="15">
        <f t="shared" si="5"/>
        <v>8.4361602680582912</v>
      </c>
    </row>
    <row r="67" spans="1:10" x14ac:dyDescent="0.25">
      <c r="A67" s="4">
        <v>60</v>
      </c>
      <c r="B67">
        <v>0.64057059999999999</v>
      </c>
      <c r="C67" s="3">
        <v>-0.51656035743189699</v>
      </c>
      <c r="D67" s="12">
        <f t="shared" si="6"/>
        <v>0.98913707604495327</v>
      </c>
      <c r="E67" s="12">
        <f t="shared" si="7"/>
        <v>6.1431746882454723E-3</v>
      </c>
      <c r="F67" s="13">
        <f t="shared" si="1"/>
        <v>-0.24246937684485045</v>
      </c>
      <c r="G67" s="12">
        <f t="shared" si="2"/>
        <v>0.86301288215919103</v>
      </c>
      <c r="H67" s="12">
        <f t="shared" si="3"/>
        <v>0.22244228215919104</v>
      </c>
      <c r="I67" s="12">
        <f t="shared" si="4"/>
        <v>4.9480568892189158E-2</v>
      </c>
      <c r="J67" s="15">
        <f t="shared" si="5"/>
        <v>34.725646503163127</v>
      </c>
    </row>
    <row r="68" spans="1:10" x14ac:dyDescent="0.25">
      <c r="A68" s="3">
        <v>61</v>
      </c>
      <c r="B68">
        <v>0.8394064</v>
      </c>
      <c r="C68" s="3">
        <v>-9.9131238838018595E-2</v>
      </c>
      <c r="D68" s="12">
        <f t="shared" si="6"/>
        <v>0.97179487907788986</v>
      </c>
      <c r="E68" s="12">
        <f t="shared" si="7"/>
        <v>5.058552143166856E-3</v>
      </c>
      <c r="F68" s="13">
        <f t="shared" si="1"/>
        <v>-0.10150126865271315</v>
      </c>
      <c r="G68" s="12">
        <f t="shared" si="2"/>
        <v>0.90416426452511067</v>
      </c>
      <c r="H68" s="12">
        <f t="shared" si="3"/>
        <v>6.4757864525110675E-2</v>
      </c>
      <c r="I68" s="12">
        <f t="shared" si="4"/>
        <v>4.1935810178525875E-3</v>
      </c>
      <c r="J68" s="15">
        <f t="shared" si="5"/>
        <v>7.7147213227240909</v>
      </c>
    </row>
    <row r="69" spans="1:10" x14ac:dyDescent="0.25">
      <c r="A69" s="4">
        <v>62</v>
      </c>
      <c r="B69">
        <v>0.91925299999999999</v>
      </c>
      <c r="C69" s="3">
        <v>9.3292876050985199E-2</v>
      </c>
      <c r="D69" s="12">
        <f t="shared" si="6"/>
        <v>0.95784658221354024</v>
      </c>
      <c r="E69" s="12">
        <f t="shared" si="7"/>
        <v>4.1807607568083863E-3</v>
      </c>
      <c r="F69" s="13">
        <f t="shared" si="1"/>
        <v>-1.3596381682458922E-2</v>
      </c>
      <c r="G69" s="12">
        <f t="shared" si="2"/>
        <v>0.9716619195241567</v>
      </c>
      <c r="H69" s="12">
        <f t="shared" si="3"/>
        <v>5.2408919524156716E-2</v>
      </c>
      <c r="I69" s="12">
        <f t="shared" si="4"/>
        <v>2.7466948456895349E-3</v>
      </c>
      <c r="J69" s="15">
        <f t="shared" si="5"/>
        <v>5.701250855222308</v>
      </c>
    </row>
    <row r="70" spans="1:10" x14ac:dyDescent="0.25">
      <c r="A70" s="3">
        <v>63</v>
      </c>
      <c r="B70">
        <v>1.0581867</v>
      </c>
      <c r="C70" s="3">
        <v>0.467018140653845</v>
      </c>
      <c r="D70" s="12">
        <f t="shared" si="6"/>
        <v>0.96874074519339892</v>
      </c>
      <c r="E70" s="12">
        <f t="shared" si="7"/>
        <v>4.4908051330341831E-3</v>
      </c>
      <c r="F70" s="13">
        <f t="shared" si="1"/>
        <v>8.0616702701266196E-2</v>
      </c>
      <c r="G70" s="12">
        <f t="shared" si="2"/>
        <v>1.0396753646017969</v>
      </c>
      <c r="H70" s="12">
        <f t="shared" si="3"/>
        <v>1.8511335398203155E-2</v>
      </c>
      <c r="I70" s="12">
        <f t="shared" si="4"/>
        <v>3.4266953822476915E-4</v>
      </c>
      <c r="J70" s="15">
        <f t="shared" si="5"/>
        <v>1.749344931116896</v>
      </c>
    </row>
    <row r="71" spans="1:10" x14ac:dyDescent="0.25">
      <c r="A71" s="4">
        <v>64</v>
      </c>
      <c r="B71">
        <v>0.78663810000000001</v>
      </c>
      <c r="C71" s="3">
        <v>-0.218122417041786</v>
      </c>
      <c r="D71" s="12">
        <f t="shared" si="6"/>
        <v>0.96669518277791244</v>
      </c>
      <c r="E71" s="12">
        <f t="shared" si="7"/>
        <v>4.1889367312861886E-3</v>
      </c>
      <c r="F71" s="13">
        <f t="shared" si="1"/>
        <v>-0.17146066102012361</v>
      </c>
      <c r="G71" s="12">
        <f t="shared" si="2"/>
        <v>0.80466128525786451</v>
      </c>
      <c r="H71" s="12">
        <f t="shared" si="3"/>
        <v>1.8023185257864505E-2</v>
      </c>
      <c r="I71" s="12">
        <f t="shared" si="4"/>
        <v>3.2483520683930441E-4</v>
      </c>
      <c r="J71" s="15">
        <f t="shared" si="5"/>
        <v>2.2911660721575151</v>
      </c>
    </row>
    <row r="72" spans="1:10" x14ac:dyDescent="0.25">
      <c r="A72" s="3">
        <v>65</v>
      </c>
      <c r="B72">
        <v>0.90481829999999996</v>
      </c>
      <c r="C72" s="3">
        <v>5.7359110403570703E-2</v>
      </c>
      <c r="D72" s="12">
        <f t="shared" si="6"/>
        <v>0.99374396559947487</v>
      </c>
      <c r="E72" s="12">
        <f t="shared" si="7"/>
        <v>5.2446706924277452E-3</v>
      </c>
      <c r="F72" s="13">
        <f t="shared" si="1"/>
        <v>-0.11899020478754918</v>
      </c>
      <c r="G72" s="12">
        <f t="shared" si="2"/>
        <v>0.84178524104287833</v>
      </c>
      <c r="H72" s="12">
        <f t="shared" si="3"/>
        <v>6.3033058957121635E-2</v>
      </c>
      <c r="I72" s="12">
        <f t="shared" si="4"/>
        <v>3.9731665214919722E-3</v>
      </c>
      <c r="J72" s="15">
        <f t="shared" si="5"/>
        <v>6.9663775541588455</v>
      </c>
    </row>
    <row r="73" spans="1:10" x14ac:dyDescent="0.25">
      <c r="A73" s="4">
        <v>66</v>
      </c>
      <c r="B73">
        <v>1.2165193999999999</v>
      </c>
      <c r="C73" s="3">
        <v>0.96129498925830803</v>
      </c>
      <c r="D73" s="12">
        <f t="shared" si="6"/>
        <v>1.051978145753145</v>
      </c>
      <c r="E73" s="12">
        <f t="shared" si="7"/>
        <v>7.6918798512969925E-3</v>
      </c>
      <c r="F73" s="13">
        <f t="shared" si="1"/>
        <v>9.485114445945797E-2</v>
      </c>
      <c r="G73" s="12">
        <f t="shared" si="2"/>
        <v>1.0704077043748839</v>
      </c>
      <c r="H73" s="12">
        <f t="shared" si="3"/>
        <v>0.14611169562511606</v>
      </c>
      <c r="I73" s="12">
        <f t="shared" si="4"/>
        <v>2.1348627598446558E-2</v>
      </c>
      <c r="J73" s="15">
        <f t="shared" si="5"/>
        <v>12.010634242669378</v>
      </c>
    </row>
    <row r="74" spans="1:10" x14ac:dyDescent="0.25">
      <c r="A74" s="3">
        <v>67</v>
      </c>
      <c r="B74">
        <v>0.5366168</v>
      </c>
      <c r="C74" s="3">
        <v>-0.70391267705821903</v>
      </c>
      <c r="D74" s="12">
        <f t="shared" si="6"/>
        <v>0.96363366285632912</v>
      </c>
      <c r="E74" s="12">
        <f t="shared" si="7"/>
        <v>3.2566422185808328E-3</v>
      </c>
      <c r="F74" s="13">
        <f t="shared" si="1"/>
        <v>-0.30071290700647346</v>
      </c>
      <c r="G74" s="12">
        <f t="shared" si="2"/>
        <v>0.80142460715773223</v>
      </c>
      <c r="H74" s="12">
        <f t="shared" si="3"/>
        <v>0.26480780715773222</v>
      </c>
      <c r="I74" s="12">
        <f t="shared" si="4"/>
        <v>7.0123174731686694E-2</v>
      </c>
      <c r="J74" s="15">
        <f t="shared" si="5"/>
        <v>49.347655004042409</v>
      </c>
    </row>
    <row r="75" spans="1:10" x14ac:dyDescent="0.25">
      <c r="A75" s="4">
        <v>68</v>
      </c>
      <c r="B75">
        <v>0.93222700000000003</v>
      </c>
      <c r="C75" s="3">
        <v>0.12603602066449501</v>
      </c>
      <c r="D75" s="12">
        <f t="shared" si="6"/>
        <v>1.0003673419554193</v>
      </c>
      <c r="E75" s="12">
        <f t="shared" si="7"/>
        <v>4.8027088287219966E-3</v>
      </c>
      <c r="F75" s="13">
        <f t="shared" si="1"/>
        <v>-0.11216827124330703</v>
      </c>
      <c r="G75" s="12">
        <f t="shared" si="2"/>
        <v>0.83991841528487954</v>
      </c>
      <c r="H75" s="12">
        <f t="shared" si="3"/>
        <v>9.230858471512049E-2</v>
      </c>
      <c r="I75" s="12">
        <f t="shared" si="4"/>
        <v>8.520874812108576E-3</v>
      </c>
      <c r="J75" s="15">
        <f t="shared" si="5"/>
        <v>9.9019428438696249</v>
      </c>
    </row>
    <row r="76" spans="1:10" x14ac:dyDescent="0.25">
      <c r="A76" s="3">
        <v>69</v>
      </c>
      <c r="B76">
        <v>0.7936706</v>
      </c>
      <c r="C76" s="3">
        <v>-0.20262475070468</v>
      </c>
      <c r="D76" s="12">
        <f t="shared" si="6"/>
        <v>0.95378829790543307</v>
      </c>
      <c r="E76" s="12">
        <f t="shared" si="7"/>
        <v>2.4297505295797603E-3</v>
      </c>
      <c r="F76" s="13">
        <f t="shared" si="1"/>
        <v>-9.2542058206311992E-2</v>
      </c>
      <c r="G76" s="12">
        <f t="shared" si="2"/>
        <v>0.935349115495409</v>
      </c>
      <c r="H76" s="12">
        <f t="shared" si="3"/>
        <v>0.141678515495409</v>
      </c>
      <c r="I76" s="12">
        <f t="shared" si="4"/>
        <v>2.0072801752982847E-2</v>
      </c>
      <c r="J76" s="15">
        <f t="shared" si="5"/>
        <v>17.85104746168108</v>
      </c>
    </row>
    <row r="77" spans="1:10" x14ac:dyDescent="0.25">
      <c r="A77" s="4">
        <v>70</v>
      </c>
      <c r="B77">
        <v>0.96752749999999998</v>
      </c>
      <c r="C77" s="3">
        <v>0.21730634808441501</v>
      </c>
      <c r="D77" s="12">
        <f t="shared" si="6"/>
        <v>0.98123213449185964</v>
      </c>
      <c r="E77" s="12">
        <f t="shared" si="7"/>
        <v>3.5849735373306205E-3</v>
      </c>
      <c r="F77" s="13">
        <f t="shared" si="1"/>
        <v>-4.6602361254325486E-2</v>
      </c>
      <c r="G77" s="12">
        <f t="shared" si="2"/>
        <v>0.89855440390157892</v>
      </c>
      <c r="H77" s="12">
        <f t="shared" si="3"/>
        <v>6.8973096098421061E-2</v>
      </c>
      <c r="I77" s="12">
        <f t="shared" si="4"/>
        <v>4.7572879854020263E-3</v>
      </c>
      <c r="J77" s="15">
        <f t="shared" si="5"/>
        <v>7.1287995533378696</v>
      </c>
    </row>
    <row r="78" spans="1:10" x14ac:dyDescent="0.25">
      <c r="A78" s="3">
        <v>71</v>
      </c>
      <c r="B78">
        <v>1.2630627000000001</v>
      </c>
      <c r="C78" s="3">
        <v>1.1221114605965301</v>
      </c>
      <c r="D78" s="12">
        <f t="shared" si="6"/>
        <v>0.99504431051302</v>
      </c>
      <c r="E78" s="12">
        <f t="shared" si="7"/>
        <v>4.0572953957985604E-3</v>
      </c>
      <c r="F78" s="13">
        <f t="shared" si="1"/>
        <v>0.25456789954731873</v>
      </c>
      <c r="G78" s="12">
        <f t="shared" si="2"/>
        <v>1.2348625163861713</v>
      </c>
      <c r="H78" s="12">
        <f t="shared" si="3"/>
        <v>2.8200183613828811E-2</v>
      </c>
      <c r="I78" s="12">
        <f t="shared" si="4"/>
        <v>7.9525035585365899E-4</v>
      </c>
      <c r="J78" s="15">
        <f t="shared" si="5"/>
        <v>2.2326827966520435</v>
      </c>
    </row>
    <row r="79" spans="1:10" x14ac:dyDescent="0.25">
      <c r="A79" s="4">
        <v>72</v>
      </c>
      <c r="B79">
        <v>0.51210940000000005</v>
      </c>
      <c r="C79" s="3">
        <v>-0.74531601535543202</v>
      </c>
      <c r="D79" s="12">
        <f t="shared" si="6"/>
        <v>0.9104218824360345</v>
      </c>
      <c r="E79" s="12">
        <f t="shared" si="7"/>
        <v>-3.8191308929678199E-5</v>
      </c>
      <c r="F79" s="13">
        <f t="shared" si="1"/>
        <v>-0.28168374351074621</v>
      </c>
      <c r="G79" s="12">
        <f t="shared" si="2"/>
        <v>0.7566322290639681</v>
      </c>
      <c r="H79" s="12">
        <f t="shared" si="3"/>
        <v>0.24452282906396805</v>
      </c>
      <c r="I79" s="12">
        <f t="shared" si="4"/>
        <v>5.9791413933446537E-2</v>
      </c>
      <c r="J79" s="15">
        <f t="shared" si="5"/>
        <v>47.748162612123117</v>
      </c>
    </row>
    <row r="80" spans="1:10" x14ac:dyDescent="0.25">
      <c r="A80" s="3">
        <v>73</v>
      </c>
      <c r="B80">
        <v>0.88599470000000002</v>
      </c>
      <c r="C80" s="3">
        <v>1.12721153529153E-2</v>
      </c>
      <c r="D80" s="12">
        <f t="shared" si="6"/>
        <v>0.93834956847894335</v>
      </c>
      <c r="E80" s="12">
        <f t="shared" si="7"/>
        <v>1.2533539778084551E-3</v>
      </c>
      <c r="F80" s="13">
        <f t="shared" si="1"/>
        <v>-8.9134696840555458E-2</v>
      </c>
      <c r="G80" s="12">
        <f t="shared" si="2"/>
        <v>0.80888242247439168</v>
      </c>
      <c r="H80" s="12">
        <f t="shared" si="3"/>
        <v>7.7112277525608341E-2</v>
      </c>
      <c r="I80" s="12">
        <f t="shared" si="4"/>
        <v>5.9463033451864411E-3</v>
      </c>
      <c r="J80" s="15">
        <f t="shared" si="5"/>
        <v>8.7034693915898522</v>
      </c>
    </row>
    <row r="81" spans="1:10" x14ac:dyDescent="0.25">
      <c r="A81" s="4">
        <v>74</v>
      </c>
      <c r="B81">
        <v>0.83565929999999999</v>
      </c>
      <c r="C81" s="3">
        <v>-0.10778955783333</v>
      </c>
      <c r="D81" s="12">
        <f t="shared" si="6"/>
        <v>0.90683719518677419</v>
      </c>
      <c r="E81" s="12">
        <f t="shared" si="7"/>
        <v>-2.5986229249406112E-4</v>
      </c>
      <c r="F81" s="13">
        <f t="shared" si="1"/>
        <v>-2.8085457571762694E-2</v>
      </c>
      <c r="G81" s="12">
        <f t="shared" si="2"/>
        <v>0.9260065407742929</v>
      </c>
      <c r="H81" s="12">
        <f t="shared" si="3"/>
        <v>9.0347240774292903E-2</v>
      </c>
      <c r="I81" s="12">
        <f t="shared" si="4"/>
        <v>8.1626239155280535E-3</v>
      </c>
      <c r="J81" s="15">
        <f t="shared" si="5"/>
        <v>10.811492288100293</v>
      </c>
    </row>
    <row r="82" spans="1:10" x14ac:dyDescent="0.25">
      <c r="A82" s="3">
        <v>75</v>
      </c>
      <c r="B82">
        <v>0.96600790000000003</v>
      </c>
      <c r="C82" s="3">
        <v>0.21331086554522399</v>
      </c>
      <c r="D82" s="12">
        <f t="shared" si="6"/>
        <v>0.89889387588021763</v>
      </c>
      <c r="E82" s="12">
        <f t="shared" si="7"/>
        <v>-6.1470661107271935E-4</v>
      </c>
      <c r="F82" s="13">
        <f t="shared" si="1"/>
        <v>7.721906129225159E-2</v>
      </c>
      <c r="G82" s="12">
        <f t="shared" si="2"/>
        <v>0.9871940355955463</v>
      </c>
      <c r="H82" s="12">
        <f t="shared" si="3"/>
        <v>2.1186135595546274E-2</v>
      </c>
      <c r="I82" s="12">
        <f t="shared" si="4"/>
        <v>4.4885234147287289E-4</v>
      </c>
      <c r="J82" s="15">
        <f t="shared" si="5"/>
        <v>2.193163802857748</v>
      </c>
    </row>
    <row r="83" spans="1:10" x14ac:dyDescent="0.25">
      <c r="A83" s="4">
        <v>76</v>
      </c>
      <c r="B83">
        <v>0.75342480000000001</v>
      </c>
      <c r="C83" s="3">
        <v>-0.28986096017704899</v>
      </c>
      <c r="D83" s="12">
        <f t="shared" si="6"/>
        <v>0.90792832392740286</v>
      </c>
      <c r="E83" s="12">
        <f t="shared" si="7"/>
        <v>-1.6908067689972768E-4</v>
      </c>
      <c r="F83" s="13">
        <f t="shared" si="1"/>
        <v>-0.16719378383594979</v>
      </c>
      <c r="G83" s="12">
        <f t="shared" si="2"/>
        <v>0.72681850824902128</v>
      </c>
      <c r="H83" s="12">
        <f t="shared" si="3"/>
        <v>2.6606291750978728E-2</v>
      </c>
      <c r="I83" s="12">
        <f t="shared" si="4"/>
        <v>7.0789476073819871E-4</v>
      </c>
      <c r="J83" s="15">
        <f t="shared" si="5"/>
        <v>3.5313798737417095</v>
      </c>
    </row>
    <row r="84" spans="1:10" x14ac:dyDescent="0.25">
      <c r="A84" s="3">
        <v>77</v>
      </c>
      <c r="B84">
        <v>0.87595339999999999</v>
      </c>
      <c r="C84" s="3">
        <v>-1.2960256442431499E-2</v>
      </c>
      <c r="D84" s="12">
        <f t="shared" si="6"/>
        <v>0.93937790684053502</v>
      </c>
      <c r="E84" s="12">
        <f t="shared" si="7"/>
        <v>1.2911608674257039E-3</v>
      </c>
      <c r="F84" s="13">
        <f t="shared" si="1"/>
        <v>-0.10500836295325833</v>
      </c>
      <c r="G84" s="12">
        <f t="shared" si="2"/>
        <v>0.78876903846295399</v>
      </c>
      <c r="H84" s="12">
        <f t="shared" si="3"/>
        <v>8.7184361537046007E-2</v>
      </c>
      <c r="I84" s="12">
        <f t="shared" si="4"/>
        <v>7.6011128966223468E-3</v>
      </c>
      <c r="J84" s="15">
        <f t="shared" si="5"/>
        <v>9.9530821544897261</v>
      </c>
    </row>
    <row r="85" spans="1:10" x14ac:dyDescent="0.25">
      <c r="A85" s="4">
        <v>78</v>
      </c>
      <c r="B85">
        <v>1.2029947000000001</v>
      </c>
      <c r="C85" s="3">
        <v>0.915950962744008</v>
      </c>
      <c r="D85" s="12">
        <f t="shared" si="6"/>
        <v>1.0014061012462658</v>
      </c>
      <c r="E85" s="12">
        <f t="shared" si="7"/>
        <v>4.0961731475677677E-3</v>
      </c>
      <c r="F85" s="13">
        <f t="shared" ref="F85:F148" si="8">$G$3*(B85-D85)+(1-$G$3)*F73</f>
        <v>0.12170919283960277</v>
      </c>
      <c r="G85" s="12">
        <f t="shared" ref="G85:G148" si="9">D84+E84+F73</f>
        <v>1.0355202121674187</v>
      </c>
      <c r="H85" s="12">
        <f t="shared" ref="H85:H148" si="10">ABS(B85-G85)</f>
        <v>0.16747448783258134</v>
      </c>
      <c r="I85" s="12">
        <f t="shared" ref="I85:I148" si="11">(B85-G85)^2</f>
        <v>2.8047704074785434E-2</v>
      </c>
      <c r="J85" s="15">
        <f t="shared" ref="J85:J148" si="12">ABS((B85 - G85) / B85) * 100</f>
        <v>13.921465142995338</v>
      </c>
    </row>
    <row r="86" spans="1:10" x14ac:dyDescent="0.25">
      <c r="A86" s="3">
        <v>79</v>
      </c>
      <c r="B86">
        <v>0.71473209999999998</v>
      </c>
      <c r="C86" s="3">
        <v>-0.370484670014252</v>
      </c>
      <c r="D86" s="12">
        <f t="shared" si="6"/>
        <v>1.0091081494854475</v>
      </c>
      <c r="E86" s="12">
        <f t="shared" si="7"/>
        <v>4.2627029124147186E-3</v>
      </c>
      <c r="F86" s="13">
        <f t="shared" si="8"/>
        <v>-0.29911838119542528</v>
      </c>
      <c r="G86" s="12">
        <f t="shared" si="9"/>
        <v>0.70478936738736009</v>
      </c>
      <c r="H86" s="12">
        <f t="shared" si="10"/>
        <v>9.9427326126398929E-3</v>
      </c>
      <c r="I86" s="12">
        <f t="shared" si="11"/>
        <v>9.8857931806452912E-5</v>
      </c>
      <c r="J86" s="15">
        <f t="shared" si="12"/>
        <v>1.3911132034841998</v>
      </c>
    </row>
    <row r="87" spans="1:10" x14ac:dyDescent="0.25">
      <c r="A87" s="4">
        <v>80</v>
      </c>
      <c r="B87">
        <v>0.76483959999999995</v>
      </c>
      <c r="C87" s="3">
        <v>-0.26547398459167099</v>
      </c>
      <c r="D87" s="12">
        <f t="shared" si="6"/>
        <v>0.96391685455642984</v>
      </c>
      <c r="E87" s="12">
        <f t="shared" si="7"/>
        <v>1.9787739292869747E-3</v>
      </c>
      <c r="F87" s="13">
        <f t="shared" si="8"/>
        <v>-0.13403693668906164</v>
      </c>
      <c r="G87" s="12">
        <f t="shared" si="9"/>
        <v>0.9012025811545552</v>
      </c>
      <c r="H87" s="12">
        <f t="shared" si="10"/>
        <v>0.13636298115455525</v>
      </c>
      <c r="I87" s="12">
        <f t="shared" si="11"/>
        <v>1.8594862629357591E-2</v>
      </c>
      <c r="J87" s="15">
        <f t="shared" si="12"/>
        <v>17.828964550809772</v>
      </c>
    </row>
    <row r="88" spans="1:10" x14ac:dyDescent="0.25">
      <c r="A88" s="3">
        <v>81</v>
      </c>
      <c r="B88">
        <v>0.90532579999999996</v>
      </c>
      <c r="C88" s="3">
        <v>5.8613726351625803E-2</v>
      </c>
      <c r="D88" s="12">
        <f t="shared" ref="D88:D151" si="13">$E$3 * (B88 - F76) + (1 - $E$3) * (D87 + E87)</f>
        <v>0.97749081778270053</v>
      </c>
      <c r="E88" s="12">
        <f t="shared" ref="E88:E151" si="14">$F$3 * (D88 - D87) + (1 - $F$3) * E87</f>
        <v>2.5142733844603785E-3</v>
      </c>
      <c r="F88" s="13">
        <f t="shared" si="8"/>
        <v>-8.7414640270779775E-2</v>
      </c>
      <c r="G88" s="12">
        <f t="shared" si="9"/>
        <v>0.87335357027940486</v>
      </c>
      <c r="H88" s="12">
        <f t="shared" si="10"/>
        <v>3.1972229720595102E-2</v>
      </c>
      <c r="I88" s="12">
        <f t="shared" si="11"/>
        <v>1.0222234733065047E-3</v>
      </c>
      <c r="J88" s="15">
        <f t="shared" si="12"/>
        <v>3.531571697238177</v>
      </c>
    </row>
    <row r="89" spans="1:10" x14ac:dyDescent="0.25">
      <c r="A89" s="4">
        <v>82</v>
      </c>
      <c r="B89">
        <v>0.926929</v>
      </c>
      <c r="C89" s="3">
        <v>0.11261399556212</v>
      </c>
      <c r="D89" s="12">
        <f t="shared" si="13"/>
        <v>0.977657299835344</v>
      </c>
      <c r="E89" s="12">
        <f t="shared" si="14"/>
        <v>2.4058455747155349E-3</v>
      </c>
      <c r="F89" s="13">
        <f t="shared" si="8"/>
        <v>-4.7640559689496931E-2</v>
      </c>
      <c r="G89" s="12">
        <f t="shared" si="9"/>
        <v>0.93340272991283546</v>
      </c>
      <c r="H89" s="12">
        <f t="shared" si="10"/>
        <v>6.4737299128354575E-3</v>
      </c>
      <c r="I89" s="12">
        <f t="shared" si="11"/>
        <v>4.1909178984340581E-5</v>
      </c>
      <c r="J89" s="15">
        <f t="shared" si="12"/>
        <v>0.69840623314573802</v>
      </c>
    </row>
    <row r="90" spans="1:10" x14ac:dyDescent="0.25">
      <c r="A90" s="3">
        <v>83</v>
      </c>
      <c r="B90">
        <v>1.3558037000000001</v>
      </c>
      <c r="C90" s="3">
        <v>1.4657543918687499</v>
      </c>
      <c r="D90" s="12">
        <f t="shared" si="13"/>
        <v>1.0240081528466931</v>
      </c>
      <c r="E90" s="12">
        <f t="shared" si="14"/>
        <v>4.4353534108687604E-3</v>
      </c>
      <c r="F90" s="13">
        <f t="shared" si="8"/>
        <v>0.27400047744980327</v>
      </c>
      <c r="G90" s="12">
        <f t="shared" si="9"/>
        <v>1.2346310449573783</v>
      </c>
      <c r="H90" s="12">
        <f t="shared" si="10"/>
        <v>0.12117265504262176</v>
      </c>
      <c r="I90" s="12">
        <f t="shared" si="11"/>
        <v>1.4682812330078208E-2</v>
      </c>
      <c r="J90" s="15">
        <f t="shared" si="12"/>
        <v>8.9373303113586253</v>
      </c>
    </row>
    <row r="91" spans="1:10" x14ac:dyDescent="0.25">
      <c r="A91" s="4">
        <v>84</v>
      </c>
      <c r="B91">
        <v>0.50282459999999995</v>
      </c>
      <c r="C91" s="3">
        <v>-0.76073885005677899</v>
      </c>
      <c r="D91" s="12">
        <f t="shared" si="13"/>
        <v>0.93997690843320436</v>
      </c>
      <c r="E91" s="12">
        <f t="shared" si="14"/>
        <v>3.4970946641745774E-4</v>
      </c>
      <c r="F91" s="13">
        <f t="shared" si="8"/>
        <v>-0.32080386555119644</v>
      </c>
      <c r="G91" s="12">
        <f t="shared" si="9"/>
        <v>0.74675976274681566</v>
      </c>
      <c r="H91" s="12">
        <f t="shared" si="10"/>
        <v>0.2439351627468157</v>
      </c>
      <c r="I91" s="12">
        <f t="shared" si="11"/>
        <v>5.9504363624315465E-2</v>
      </c>
      <c r="J91" s="15">
        <f t="shared" si="12"/>
        <v>48.512973061941622</v>
      </c>
    </row>
    <row r="92" spans="1:10" x14ac:dyDescent="0.25">
      <c r="A92" s="3">
        <v>85</v>
      </c>
      <c r="B92">
        <v>0.84893430000000003</v>
      </c>
      <c r="C92" s="3">
        <v>-7.6968795407686794E-2</v>
      </c>
      <c r="D92" s="12">
        <f t="shared" si="13"/>
        <v>0.93950785912772838</v>
      </c>
      <c r="E92" s="12">
        <f t="shared" si="14"/>
        <v>3.1189681282141573E-4</v>
      </c>
      <c r="F92" s="13">
        <f t="shared" si="8"/>
        <v>-8.9496753750913371E-2</v>
      </c>
      <c r="G92" s="12">
        <f t="shared" si="9"/>
        <v>0.85119192105906638</v>
      </c>
      <c r="H92" s="12">
        <f t="shared" si="10"/>
        <v>2.2576210590663504E-3</v>
      </c>
      <c r="I92" s="12">
        <f t="shared" si="11"/>
        <v>5.0968528463398691E-6</v>
      </c>
      <c r="J92" s="15">
        <f t="shared" si="12"/>
        <v>0.26593589858088551</v>
      </c>
    </row>
    <row r="93" spans="1:10" x14ac:dyDescent="0.25">
      <c r="A93" s="4">
        <v>86</v>
      </c>
      <c r="B93">
        <v>1.0201302999999999</v>
      </c>
      <c r="C93" s="3">
        <v>0.35943238827378599</v>
      </c>
      <c r="D93" s="12">
        <f t="shared" si="13"/>
        <v>0.979131126118165</v>
      </c>
      <c r="E93" s="12">
        <f t="shared" si="14"/>
        <v>2.1274098478444004E-3</v>
      </c>
      <c r="F93" s="13">
        <f t="shared" si="8"/>
        <v>-1.0701884146921343E-2</v>
      </c>
      <c r="G93" s="12">
        <f t="shared" si="9"/>
        <v>0.91173429836878706</v>
      </c>
      <c r="H93" s="12">
        <f t="shared" si="10"/>
        <v>0.10839600163121288</v>
      </c>
      <c r="I93" s="12">
        <f t="shared" si="11"/>
        <v>1.1749693169633904E-2</v>
      </c>
      <c r="J93" s="15">
        <f t="shared" si="12"/>
        <v>10.62570160215934</v>
      </c>
    </row>
    <row r="94" spans="1:10" x14ac:dyDescent="0.25">
      <c r="A94" s="3">
        <v>87</v>
      </c>
      <c r="B94">
        <v>0.76738620000000002</v>
      </c>
      <c r="C94" s="3">
        <v>-0.25999524411784602</v>
      </c>
      <c r="D94" s="12">
        <f t="shared" si="13"/>
        <v>0.87569005095794528</v>
      </c>
      <c r="E94" s="12">
        <f t="shared" si="14"/>
        <v>-2.748048823624272E-3</v>
      </c>
      <c r="F94" s="13">
        <f t="shared" si="8"/>
        <v>3.053644752948035E-2</v>
      </c>
      <c r="G94" s="12">
        <f t="shared" si="9"/>
        <v>1.058477597258261</v>
      </c>
      <c r="H94" s="12">
        <f t="shared" si="10"/>
        <v>0.29109139725826094</v>
      </c>
      <c r="I94" s="12">
        <f t="shared" si="11"/>
        <v>8.4734201557766689E-2</v>
      </c>
      <c r="J94" s="15">
        <f t="shared" si="12"/>
        <v>37.932842323495123</v>
      </c>
    </row>
    <row r="95" spans="1:10" x14ac:dyDescent="0.25">
      <c r="A95" s="4">
        <v>88</v>
      </c>
      <c r="B95">
        <v>1.0480763</v>
      </c>
      <c r="C95" s="3">
        <v>0.43803533456274002</v>
      </c>
      <c r="D95" s="12">
        <f t="shared" si="13"/>
        <v>0.99709220822541533</v>
      </c>
      <c r="E95" s="12">
        <f t="shared" si="14"/>
        <v>2.9855675942414574E-3</v>
      </c>
      <c r="F95" s="13">
        <f t="shared" si="8"/>
        <v>-0.11229429258080581</v>
      </c>
      <c r="G95" s="12">
        <f t="shared" si="9"/>
        <v>0.7057482182983712</v>
      </c>
      <c r="H95" s="12">
        <f t="shared" si="10"/>
        <v>0.34232808170162876</v>
      </c>
      <c r="I95" s="12">
        <f t="shared" si="11"/>
        <v>0.11718851552151702</v>
      </c>
      <c r="J95" s="15">
        <f t="shared" si="12"/>
        <v>32.662515286494767</v>
      </c>
    </row>
    <row r="96" spans="1:10" x14ac:dyDescent="0.25">
      <c r="A96" s="3">
        <v>89</v>
      </c>
      <c r="B96">
        <v>1.0847640999999999</v>
      </c>
      <c r="C96" s="3">
        <v>0.54461813691622696</v>
      </c>
      <c r="D96" s="12">
        <f t="shared" si="13"/>
        <v>1.0688732844584978</v>
      </c>
      <c r="E96" s="12">
        <f t="shared" si="14"/>
        <v>6.1627436153401252E-3</v>
      </c>
      <c r="F96" s="13">
        <f t="shared" si="8"/>
        <v>-7.4586839350309117E-2</v>
      </c>
      <c r="G96" s="12">
        <f t="shared" si="9"/>
        <v>0.89506941286639852</v>
      </c>
      <c r="H96" s="12">
        <f t="shared" si="10"/>
        <v>0.18969468713360138</v>
      </c>
      <c r="I96" s="12">
        <f t="shared" si="11"/>
        <v>3.598407432671491E-2</v>
      </c>
      <c r="J96" s="15">
        <f t="shared" si="12"/>
        <v>17.487183354759011</v>
      </c>
    </row>
    <row r="97" spans="1:10" x14ac:dyDescent="0.25">
      <c r="A97" s="4">
        <v>90</v>
      </c>
      <c r="B97">
        <v>1.1708555</v>
      </c>
      <c r="C97" s="3">
        <v>0.81062656934450295</v>
      </c>
      <c r="D97" s="12">
        <f t="shared" si="13"/>
        <v>1.0656467481436975</v>
      </c>
      <c r="E97" s="12">
        <f t="shared" si="14"/>
        <v>5.7291194494656882E-3</v>
      </c>
      <c r="F97" s="13">
        <f t="shared" si="8"/>
        <v>0.11755723282562887</v>
      </c>
      <c r="G97" s="12">
        <f t="shared" si="9"/>
        <v>1.1967452209134408</v>
      </c>
      <c r="H97" s="12">
        <f t="shared" si="10"/>
        <v>2.5889720913440772E-2</v>
      </c>
      <c r="I97" s="12">
        <f t="shared" si="11"/>
        <v>6.7027764897585249E-4</v>
      </c>
      <c r="J97" s="15">
        <f t="shared" si="12"/>
        <v>2.2111798521201607</v>
      </c>
    </row>
    <row r="98" spans="1:10" x14ac:dyDescent="0.25">
      <c r="A98" s="3">
        <v>91</v>
      </c>
      <c r="B98">
        <v>1.107246</v>
      </c>
      <c r="C98" s="3">
        <v>0.61188969292652196</v>
      </c>
      <c r="D98" s="12">
        <f t="shared" si="13"/>
        <v>1.1928642736717472</v>
      </c>
      <c r="E98" s="12">
        <f t="shared" si="14"/>
        <v>1.1339806226428476E-2</v>
      </c>
      <c r="F98" s="13">
        <f t="shared" si="8"/>
        <v>-0.24539594369726436</v>
      </c>
      <c r="G98" s="12">
        <f t="shared" si="9"/>
        <v>0.77225748639773806</v>
      </c>
      <c r="H98" s="12">
        <f t="shared" si="10"/>
        <v>0.33498851360226189</v>
      </c>
      <c r="I98" s="12">
        <f t="shared" si="11"/>
        <v>0.1122173042454528</v>
      </c>
      <c r="J98" s="15">
        <f t="shared" si="12"/>
        <v>30.254208513940164</v>
      </c>
    </row>
    <row r="99" spans="1:10" x14ac:dyDescent="0.25">
      <c r="A99" s="4">
        <v>92</v>
      </c>
      <c r="B99">
        <v>1.7185979</v>
      </c>
      <c r="C99" s="3">
        <v>3.1625804076416202</v>
      </c>
      <c r="D99" s="12">
        <f t="shared" si="13"/>
        <v>1.439366826965939</v>
      </c>
      <c r="E99" s="12">
        <f t="shared" si="14"/>
        <v>2.2200303602234718E-2</v>
      </c>
      <c r="F99" s="13">
        <f t="shared" si="8"/>
        <v>-3.0047458276843284E-2</v>
      </c>
      <c r="G99" s="12">
        <f t="shared" si="9"/>
        <v>1.070167143209114</v>
      </c>
      <c r="H99" s="12">
        <f t="shared" si="10"/>
        <v>0.64843075679088602</v>
      </c>
      <c r="I99" s="12">
        <f t="shared" si="11"/>
        <v>0.42046244635240115</v>
      </c>
      <c r="J99" s="15">
        <f t="shared" si="12"/>
        <v>37.730219313714166</v>
      </c>
    </row>
    <row r="100" spans="1:10" x14ac:dyDescent="0.25">
      <c r="A100" s="3">
        <v>93</v>
      </c>
      <c r="B100">
        <v>1.1069751999999999</v>
      </c>
      <c r="C100" s="3">
        <v>0.61107030126406903</v>
      </c>
      <c r="D100" s="12">
        <f t="shared" si="13"/>
        <v>1.3646714406545648</v>
      </c>
      <c r="E100" s="12">
        <f t="shared" si="14"/>
        <v>1.7725379749901727E-2</v>
      </c>
      <c r="F100" s="13">
        <f t="shared" si="8"/>
        <v>-0.13026212517281976</v>
      </c>
      <c r="G100" s="12">
        <f t="shared" si="9"/>
        <v>1.3741524902973938</v>
      </c>
      <c r="H100" s="12">
        <f t="shared" si="10"/>
        <v>0.2671772902973939</v>
      </c>
      <c r="I100" s="12">
        <f t="shared" si="11"/>
        <v>7.1383704450657892E-2</v>
      </c>
      <c r="J100" s="15">
        <f t="shared" si="12"/>
        <v>24.135797287725499</v>
      </c>
    </row>
    <row r="101" spans="1:10" x14ac:dyDescent="0.25">
      <c r="A101" s="4">
        <v>94</v>
      </c>
      <c r="B101">
        <v>0.89422330000000005</v>
      </c>
      <c r="C101" s="3">
        <v>3.1311929738302699E-2</v>
      </c>
      <c r="D101" s="12">
        <f t="shared" si="13"/>
        <v>1.2226312014379428</v>
      </c>
      <c r="E101" s="12">
        <f t="shared" si="14"/>
        <v>1.0346940319484618E-2</v>
      </c>
      <c r="F101" s="13">
        <f t="shared" si="8"/>
        <v>-0.11828926400892141</v>
      </c>
      <c r="G101" s="12">
        <f t="shared" si="9"/>
        <v>1.3347562607149697</v>
      </c>
      <c r="H101" s="12">
        <f t="shared" si="10"/>
        <v>0.44053296071496961</v>
      </c>
      <c r="I101" s="12">
        <f t="shared" si="11"/>
        <v>0.19406928947629695</v>
      </c>
      <c r="J101" s="15">
        <f t="shared" si="12"/>
        <v>49.264312472619487</v>
      </c>
    </row>
    <row r="102" spans="1:10" x14ac:dyDescent="0.25">
      <c r="A102" s="3">
        <v>95</v>
      </c>
      <c r="B102">
        <v>1.2082648</v>
      </c>
      <c r="C102" s="3">
        <v>0.93354695357148798</v>
      </c>
      <c r="D102" s="12">
        <f t="shared" si="13"/>
        <v>1.1246452757170686</v>
      </c>
      <c r="E102" s="12">
        <f t="shared" si="14"/>
        <v>5.3438145182459684E-3</v>
      </c>
      <c r="F102" s="13">
        <f t="shared" si="8"/>
        <v>0.22609544837990794</v>
      </c>
      <c r="G102" s="12">
        <f t="shared" si="9"/>
        <v>1.5069786192072308</v>
      </c>
      <c r="H102" s="12">
        <f t="shared" si="10"/>
        <v>0.29871381920723072</v>
      </c>
      <c r="I102" s="12">
        <f t="shared" si="11"/>
        <v>8.9229945785370121E-2</v>
      </c>
      <c r="J102" s="15">
        <f t="shared" si="12"/>
        <v>24.7225458531301</v>
      </c>
    </row>
    <row r="103" spans="1:10" x14ac:dyDescent="0.25">
      <c r="A103" s="4">
        <v>96</v>
      </c>
      <c r="B103">
        <v>0.43166949999999998</v>
      </c>
      <c r="C103" s="3">
        <v>-0.87429756191199404</v>
      </c>
      <c r="D103" s="12">
        <f t="shared" si="13"/>
        <v>0.99307757894710968</v>
      </c>
      <c r="E103" s="12">
        <f t="shared" si="14"/>
        <v>-9.7915596752893349E-4</v>
      </c>
      <c r="F103" s="13">
        <f t="shared" si="8"/>
        <v>-0.3813464337301028</v>
      </c>
      <c r="G103" s="12">
        <f t="shared" si="9"/>
        <v>0.80918522468411824</v>
      </c>
      <c r="H103" s="12">
        <f t="shared" si="10"/>
        <v>0.37751572468411826</v>
      </c>
      <c r="I103" s="12">
        <f t="shared" si="11"/>
        <v>0.14251812238377498</v>
      </c>
      <c r="J103" s="15">
        <f t="shared" si="12"/>
        <v>87.454806208017544</v>
      </c>
    </row>
    <row r="104" spans="1:10" x14ac:dyDescent="0.25">
      <c r="A104" s="3">
        <v>97</v>
      </c>
      <c r="B104">
        <v>0.96141500000000002</v>
      </c>
      <c r="C104" s="3">
        <v>0.20127086371243</v>
      </c>
      <c r="D104" s="12">
        <f t="shared" si="13"/>
        <v>1.013427923907082</v>
      </c>
      <c r="E104" s="12">
        <f t="shared" si="14"/>
        <v>5.9022176590187506E-6</v>
      </c>
      <c r="F104" s="13">
        <f t="shared" si="8"/>
        <v>-8.0064802032792579E-2</v>
      </c>
      <c r="G104" s="12">
        <f t="shared" si="9"/>
        <v>0.90260166922866736</v>
      </c>
      <c r="H104" s="12">
        <f t="shared" si="10"/>
        <v>5.8813330771332661E-2</v>
      </c>
      <c r="I104" s="12">
        <f t="shared" si="11"/>
        <v>3.4590078764181855E-3</v>
      </c>
      <c r="J104" s="15">
        <f t="shared" si="12"/>
        <v>6.117371870766803</v>
      </c>
    </row>
    <row r="105" spans="1:10" x14ac:dyDescent="0.25">
      <c r="A105" s="4">
        <v>98</v>
      </c>
      <c r="B105">
        <v>0.80103590000000002</v>
      </c>
      <c r="C105" s="3">
        <v>-0.18627609016670599</v>
      </c>
      <c r="D105" s="12">
        <f t="shared" si="13"/>
        <v>0.9402858534114491</v>
      </c>
      <c r="E105" s="12">
        <f t="shared" si="14"/>
        <v>-3.3722832118101161E-3</v>
      </c>
      <c r="F105" s="13">
        <f t="shared" si="8"/>
        <v>-4.304807683353138E-2</v>
      </c>
      <c r="G105" s="12">
        <f t="shared" si="9"/>
        <v>1.0027319419778198</v>
      </c>
      <c r="H105" s="12">
        <f t="shared" si="10"/>
        <v>0.20169604197781976</v>
      </c>
      <c r="I105" s="12">
        <f t="shared" si="11"/>
        <v>4.0681293349518428E-2</v>
      </c>
      <c r="J105" s="15">
        <f t="shared" si="12"/>
        <v>25.179401070266611</v>
      </c>
    </row>
    <row r="106" spans="1:10" x14ac:dyDescent="0.25">
      <c r="A106" s="3">
        <v>99</v>
      </c>
      <c r="B106">
        <v>0.90329789999999999</v>
      </c>
      <c r="C106" s="3">
        <v>5.3604303629009101E-2</v>
      </c>
      <c r="D106" s="12">
        <f t="shared" si="13"/>
        <v>0.91364788133864705</v>
      </c>
      <c r="E106" s="12">
        <f t="shared" si="14"/>
        <v>-4.4467601686059869E-3</v>
      </c>
      <c r="F106" s="13">
        <f t="shared" si="8"/>
        <v>2.0248309294480286E-2</v>
      </c>
      <c r="G106" s="12">
        <f t="shared" si="9"/>
        <v>0.96745001772911932</v>
      </c>
      <c r="H106" s="12">
        <f t="shared" si="10"/>
        <v>6.4152117729119329E-2</v>
      </c>
      <c r="I106" s="12">
        <f t="shared" si="11"/>
        <v>4.1154942091307864E-3</v>
      </c>
      <c r="J106" s="15">
        <f t="shared" si="12"/>
        <v>7.1019890258927134</v>
      </c>
    </row>
    <row r="107" spans="1:10" x14ac:dyDescent="0.25">
      <c r="A107" s="4">
        <v>100</v>
      </c>
      <c r="B107">
        <v>0.65738890000000005</v>
      </c>
      <c r="C107" s="3">
        <v>-0.48437672715512298</v>
      </c>
      <c r="D107" s="12">
        <f t="shared" si="13"/>
        <v>0.85860293623102923</v>
      </c>
      <c r="E107" s="12">
        <f t="shared" si="14"/>
        <v>-6.7835310287981815E-3</v>
      </c>
      <c r="F107" s="13">
        <f t="shared" si="8"/>
        <v>-0.13466892005059211</v>
      </c>
      <c r="G107" s="12">
        <f t="shared" si="9"/>
        <v>0.79690682858923523</v>
      </c>
      <c r="H107" s="12">
        <f t="shared" si="10"/>
        <v>0.13951792858923517</v>
      </c>
      <c r="I107" s="12">
        <f t="shared" si="11"/>
        <v>1.9465252397830927E-2</v>
      </c>
      <c r="J107" s="15">
        <f t="shared" si="12"/>
        <v>21.22304294904206</v>
      </c>
    </row>
    <row r="108" spans="1:10" x14ac:dyDescent="0.25">
      <c r="A108" s="3">
        <v>101</v>
      </c>
      <c r="B108">
        <v>0.86914979999999997</v>
      </c>
      <c r="C108" s="3">
        <v>-2.9241332392100101E-2</v>
      </c>
      <c r="D108" s="12">
        <f t="shared" si="13"/>
        <v>0.88515451316674065</v>
      </c>
      <c r="E108" s="12">
        <f t="shared" si="14"/>
        <v>-5.2440191074373897E-3</v>
      </c>
      <c r="F108" s="13">
        <f t="shared" si="8"/>
        <v>-5.9845982079044756E-2</v>
      </c>
      <c r="G108" s="12">
        <f t="shared" si="9"/>
        <v>0.77723256585192202</v>
      </c>
      <c r="H108" s="12">
        <f t="shared" si="10"/>
        <v>9.1917234148077953E-2</v>
      </c>
      <c r="I108" s="12">
        <f t="shared" si="11"/>
        <v>8.4487779334325875E-3</v>
      </c>
      <c r="J108" s="15">
        <f t="shared" si="12"/>
        <v>10.575534176971329</v>
      </c>
    </row>
    <row r="109" spans="1:10" x14ac:dyDescent="0.25">
      <c r="A109" s="4">
        <v>102</v>
      </c>
      <c r="B109">
        <v>1.1078174999999999</v>
      </c>
      <c r="C109" s="3">
        <v>0.61361935911559495</v>
      </c>
      <c r="D109" s="12">
        <f t="shared" si="13"/>
        <v>0.91993042758693577</v>
      </c>
      <c r="E109" s="12">
        <f t="shared" si="14"/>
        <v>-3.3957825628474839E-3</v>
      </c>
      <c r="F109" s="13">
        <f t="shared" si="8"/>
        <v>0.13525413450551513</v>
      </c>
      <c r="G109" s="12">
        <f t="shared" si="9"/>
        <v>0.99746772688493213</v>
      </c>
      <c r="H109" s="12">
        <f t="shared" si="10"/>
        <v>0.11034977311506777</v>
      </c>
      <c r="I109" s="12">
        <f t="shared" si="11"/>
        <v>1.2177072426546934E-2</v>
      </c>
      <c r="J109" s="15">
        <f t="shared" si="12"/>
        <v>9.9610064938555123</v>
      </c>
    </row>
    <row r="110" spans="1:10" x14ac:dyDescent="0.25">
      <c r="A110" s="3">
        <v>103</v>
      </c>
      <c r="B110">
        <v>0.74208819999999998</v>
      </c>
      <c r="C110" s="3">
        <v>-0.313806925744888</v>
      </c>
      <c r="D110" s="12">
        <f t="shared" si="13"/>
        <v>0.94226550192180547</v>
      </c>
      <c r="E110" s="12">
        <f t="shared" si="14"/>
        <v>-2.2074569998093109E-3</v>
      </c>
      <c r="F110" s="13">
        <f t="shared" si="8"/>
        <v>-0.23401770279279829</v>
      </c>
      <c r="G110" s="12">
        <f t="shared" si="9"/>
        <v>0.67113870132682396</v>
      </c>
      <c r="H110" s="12">
        <f t="shared" si="10"/>
        <v>7.0949498673176015E-2</v>
      </c>
      <c r="I110" s="12">
        <f t="shared" si="11"/>
        <v>5.0338313619750054E-3</v>
      </c>
      <c r="J110" s="15">
        <f t="shared" si="12"/>
        <v>9.5607905735700971</v>
      </c>
    </row>
    <row r="111" spans="1:10" x14ac:dyDescent="0.25">
      <c r="A111" s="4">
        <v>104</v>
      </c>
      <c r="B111">
        <v>0.76571350000000005</v>
      </c>
      <c r="C111" s="3">
        <v>-0.26359551596856201</v>
      </c>
      <c r="D111" s="12">
        <f t="shared" si="13"/>
        <v>0.88772662952571446</v>
      </c>
      <c r="E111" s="12">
        <f t="shared" si="14"/>
        <v>-4.6242734670015918E-3</v>
      </c>
      <c r="F111" s="13">
        <f t="shared" si="8"/>
        <v>-5.3188524025936448E-2</v>
      </c>
      <c r="G111" s="12">
        <f t="shared" si="9"/>
        <v>0.91001058664515289</v>
      </c>
      <c r="H111" s="12">
        <f t="shared" si="10"/>
        <v>0.14429708664515284</v>
      </c>
      <c r="I111" s="12">
        <f t="shared" si="11"/>
        <v>2.0821649214278745E-2</v>
      </c>
      <c r="J111" s="15">
        <f t="shared" si="12"/>
        <v>18.844788115287614</v>
      </c>
    </row>
    <row r="112" spans="1:10" x14ac:dyDescent="0.25">
      <c r="A112" s="3">
        <v>105</v>
      </c>
      <c r="B112">
        <v>0.82924799999999999</v>
      </c>
      <c r="C112" s="3">
        <v>-0.122528802695672</v>
      </c>
      <c r="D112" s="12">
        <f t="shared" si="13"/>
        <v>0.91081273329485546</v>
      </c>
      <c r="E112" s="12">
        <f t="shared" si="14"/>
        <v>-3.3445279162787655E-3</v>
      </c>
      <c r="F112" s="13">
        <f t="shared" si="8"/>
        <v>-0.11800853606773117</v>
      </c>
      <c r="G112" s="12">
        <f t="shared" si="9"/>
        <v>0.75284023088589314</v>
      </c>
      <c r="H112" s="12">
        <f t="shared" si="10"/>
        <v>7.6407769114106849E-2</v>
      </c>
      <c r="I112" s="12">
        <f t="shared" si="11"/>
        <v>5.8381471809946604E-3</v>
      </c>
      <c r="J112" s="15">
        <f t="shared" si="12"/>
        <v>9.2141035147636003</v>
      </c>
    </row>
    <row r="113" spans="1:10" x14ac:dyDescent="0.25">
      <c r="A113" s="4">
        <v>106</v>
      </c>
      <c r="B113">
        <v>0.85895750000000004</v>
      </c>
      <c r="C113" s="3">
        <v>-5.3425373936031702E-2</v>
      </c>
      <c r="D113" s="12">
        <f t="shared" si="13"/>
        <v>0.9327744040159629</v>
      </c>
      <c r="E113" s="12">
        <f t="shared" si="14"/>
        <v>-2.1758143027497982E-3</v>
      </c>
      <c r="F113" s="13">
        <f t="shared" si="8"/>
        <v>-0.10709880791113018</v>
      </c>
      <c r="G113" s="12">
        <f t="shared" si="9"/>
        <v>0.78917894136965527</v>
      </c>
      <c r="H113" s="12">
        <f t="shared" si="10"/>
        <v>6.9778558630344767E-2</v>
      </c>
      <c r="I113" s="12">
        <f t="shared" si="11"/>
        <v>4.8690472445284622E-3</v>
      </c>
      <c r="J113" s="15">
        <f t="shared" si="12"/>
        <v>8.1236334312634515</v>
      </c>
    </row>
    <row r="114" spans="1:10" x14ac:dyDescent="0.25">
      <c r="A114" s="3">
        <v>107</v>
      </c>
      <c r="B114">
        <v>1.3070767999999999</v>
      </c>
      <c r="C114" s="3">
        <v>1.28123184432881</v>
      </c>
      <c r="D114" s="12">
        <f t="shared" si="13"/>
        <v>0.98513706283666458</v>
      </c>
      <c r="E114" s="12">
        <f t="shared" si="14"/>
        <v>3.4293048835032196E-4</v>
      </c>
      <c r="F114" s="13">
        <f t="shared" si="8"/>
        <v>0.25021247985799433</v>
      </c>
      <c r="G114" s="12">
        <f t="shared" si="9"/>
        <v>1.156694038093121</v>
      </c>
      <c r="H114" s="12">
        <f t="shared" si="10"/>
        <v>0.15038276190687894</v>
      </c>
      <c r="I114" s="12">
        <f t="shared" si="11"/>
        <v>2.2614975078741037E-2</v>
      </c>
      <c r="J114" s="15">
        <f t="shared" si="12"/>
        <v>11.505273592713063</v>
      </c>
    </row>
    <row r="115" spans="1:10" x14ac:dyDescent="0.25">
      <c r="A115" s="4">
        <v>108</v>
      </c>
      <c r="B115">
        <v>0.63703960000000004</v>
      </c>
      <c r="C115" s="3">
        <v>-0.52324879373084399</v>
      </c>
      <c r="D115" s="12">
        <f t="shared" si="13"/>
        <v>0.99741384250743237</v>
      </c>
      <c r="E115" s="12">
        <f t="shared" si="14"/>
        <v>8.9407023877841713E-4</v>
      </c>
      <c r="F115" s="13">
        <f t="shared" si="8"/>
        <v>-0.37606925965638749</v>
      </c>
      <c r="G115" s="12">
        <f t="shared" si="9"/>
        <v>0.60413355959491211</v>
      </c>
      <c r="H115" s="12">
        <f t="shared" si="10"/>
        <v>3.2906040405087933E-2</v>
      </c>
      <c r="I115" s="12">
        <f t="shared" si="11"/>
        <v>1.0828074951412796E-3</v>
      </c>
      <c r="J115" s="15">
        <f t="shared" si="12"/>
        <v>5.1654623048689485</v>
      </c>
    </row>
    <row r="116" spans="1:10" x14ac:dyDescent="0.25">
      <c r="A116" s="3">
        <v>109</v>
      </c>
      <c r="B116">
        <v>0.82878189999999996</v>
      </c>
      <c r="C116" s="3">
        <v>-0.123596848485736</v>
      </c>
      <c r="D116" s="12">
        <f t="shared" si="13"/>
        <v>0.96586351703078654</v>
      </c>
      <c r="E116" s="12">
        <f t="shared" si="14"/>
        <v>-6.04306008822778E-4</v>
      </c>
      <c r="F116" s="13">
        <f t="shared" si="8"/>
        <v>-9.4411784409530852E-2</v>
      </c>
      <c r="G116" s="12">
        <f t="shared" si="9"/>
        <v>0.91824311071341824</v>
      </c>
      <c r="H116" s="12">
        <f t="shared" si="10"/>
        <v>8.9461210713418282E-2</v>
      </c>
      <c r="I116" s="12">
        <f t="shared" si="11"/>
        <v>8.0033082223106254E-3</v>
      </c>
      <c r="J116" s="15">
        <f t="shared" si="12"/>
        <v>10.794300733814081</v>
      </c>
    </row>
    <row r="117" spans="1:10" x14ac:dyDescent="0.25">
      <c r="A117" s="4">
        <v>110</v>
      </c>
      <c r="B117">
        <v>0.97343729999999995</v>
      </c>
      <c r="C117" s="3">
        <v>0.232903788675769</v>
      </c>
      <c r="D117" s="12">
        <f t="shared" si="13"/>
        <v>0.98383711737177293</v>
      </c>
      <c r="E117" s="12">
        <f t="shared" si="14"/>
        <v>2.5367556213555412E-4</v>
      </c>
      <c r="F117" s="13">
        <f t="shared" si="8"/>
        <v>-3.4832886224489011E-2</v>
      </c>
      <c r="G117" s="12">
        <f t="shared" si="9"/>
        <v>0.92221113418843237</v>
      </c>
      <c r="H117" s="12">
        <f t="shared" si="10"/>
        <v>5.1226165811567581E-2</v>
      </c>
      <c r="I117" s="12">
        <f t="shared" si="11"/>
        <v>2.6241200637542152E-3</v>
      </c>
      <c r="J117" s="15">
        <f t="shared" si="12"/>
        <v>5.2624001372833753</v>
      </c>
    </row>
    <row r="118" spans="1:10" x14ac:dyDescent="0.25">
      <c r="A118" s="3">
        <v>111</v>
      </c>
      <c r="B118">
        <v>0.69242409999999999</v>
      </c>
      <c r="C118" s="3">
        <v>-0.41556926245626602</v>
      </c>
      <c r="D118" s="12">
        <f t="shared" si="13"/>
        <v>0.87097032786113504</v>
      </c>
      <c r="E118" s="12">
        <f t="shared" si="14"/>
        <v>-4.9705554412504804E-3</v>
      </c>
      <c r="F118" s="13">
        <f t="shared" si="8"/>
        <v>-2.9773806484238684E-2</v>
      </c>
      <c r="G118" s="12">
        <f t="shared" si="9"/>
        <v>1.0043391022283887</v>
      </c>
      <c r="H118" s="12">
        <f t="shared" si="10"/>
        <v>0.31191500222838875</v>
      </c>
      <c r="I118" s="12">
        <f t="shared" si="11"/>
        <v>9.7290968615135753E-2</v>
      </c>
      <c r="J118" s="15">
        <f t="shared" si="12"/>
        <v>45.046814839112145</v>
      </c>
    </row>
    <row r="119" spans="1:10" x14ac:dyDescent="0.25">
      <c r="A119" s="4">
        <v>112</v>
      </c>
      <c r="B119">
        <v>0.9955463</v>
      </c>
      <c r="C119" s="3">
        <v>0.29207848059781</v>
      </c>
      <c r="D119" s="12">
        <f t="shared" si="13"/>
        <v>0.96182130745945948</v>
      </c>
      <c r="E119" s="12">
        <f t="shared" si="14"/>
        <v>-5.4523917488132241E-4</v>
      </c>
      <c r="F119" s="13">
        <f t="shared" si="8"/>
        <v>-9.2296428770958464E-2</v>
      </c>
      <c r="G119" s="12">
        <f t="shared" si="9"/>
        <v>0.73133085236929252</v>
      </c>
      <c r="H119" s="12">
        <f t="shared" si="10"/>
        <v>0.26421544763070748</v>
      </c>
      <c r="I119" s="12">
        <f t="shared" si="11"/>
        <v>6.9809802766695128E-2</v>
      </c>
      <c r="J119" s="15">
        <f t="shared" si="12"/>
        <v>26.539744824596053</v>
      </c>
    </row>
    <row r="120" spans="1:10" x14ac:dyDescent="0.25">
      <c r="A120" s="3">
        <v>113</v>
      </c>
      <c r="B120">
        <v>0.89124479999999995</v>
      </c>
      <c r="C120" s="3">
        <v>2.4039058909624399E-2</v>
      </c>
      <c r="D120" s="12">
        <f t="shared" si="13"/>
        <v>0.95758222764133261</v>
      </c>
      <c r="E120" s="12">
        <f t="shared" si="14"/>
        <v>-7.1583144390705759E-4</v>
      </c>
      <c r="F120" s="13">
        <f t="shared" si="8"/>
        <v>-6.1479406448416797E-2</v>
      </c>
      <c r="G120" s="12">
        <f t="shared" si="9"/>
        <v>0.90143008620553333</v>
      </c>
      <c r="H120" s="12">
        <f t="shared" si="10"/>
        <v>1.0185286205533384E-2</v>
      </c>
      <c r="I120" s="12">
        <f t="shared" si="11"/>
        <v>1.0374005508862864E-4</v>
      </c>
      <c r="J120" s="15">
        <f t="shared" si="12"/>
        <v>1.1428157791813636</v>
      </c>
    </row>
    <row r="121" spans="1:10" x14ac:dyDescent="0.25">
      <c r="A121" s="4">
        <v>114</v>
      </c>
      <c r="B121">
        <v>1.1423714</v>
      </c>
      <c r="C121" s="3">
        <v>0.72006824287332905</v>
      </c>
      <c r="D121" s="12">
        <f t="shared" si="13"/>
        <v>0.97509059722842406</v>
      </c>
      <c r="E121" s="12">
        <f t="shared" si="14"/>
        <v>1.2581499006784382E-4</v>
      </c>
      <c r="F121" s="13">
        <f t="shared" si="8"/>
        <v>0.14331291585299979</v>
      </c>
      <c r="G121" s="12">
        <f t="shared" si="9"/>
        <v>1.0921205307029407</v>
      </c>
      <c r="H121" s="12">
        <f t="shared" si="10"/>
        <v>5.0250869297059353E-2</v>
      </c>
      <c r="I121" s="12">
        <f t="shared" si="11"/>
        <v>2.5251498651101423E-3</v>
      </c>
      <c r="J121" s="15">
        <f t="shared" si="12"/>
        <v>4.3988206722489158</v>
      </c>
    </row>
    <row r="122" spans="1:10" x14ac:dyDescent="0.25">
      <c r="A122" s="3">
        <v>115</v>
      </c>
      <c r="B122">
        <v>0.79635719999999999</v>
      </c>
      <c r="C122" s="3">
        <v>-0.19667533261881301</v>
      </c>
      <c r="D122" s="12">
        <f t="shared" si="13"/>
        <v>0.99522043274299676</v>
      </c>
      <c r="E122" s="12">
        <f t="shared" si="14"/>
        <v>1.0496586477937696E-3</v>
      </c>
      <c r="F122" s="13">
        <f t="shared" si="8"/>
        <v>-0.22517188139281619</v>
      </c>
      <c r="G122" s="12">
        <f t="shared" si="9"/>
        <v>0.74119870942569355</v>
      </c>
      <c r="H122" s="12">
        <f t="shared" si="10"/>
        <v>5.515849057430644E-2</v>
      </c>
      <c r="I122" s="12">
        <f t="shared" si="11"/>
        <v>3.0424590824358524E-3</v>
      </c>
      <c r="J122" s="15">
        <f t="shared" si="12"/>
        <v>6.9263504586015472</v>
      </c>
    </row>
    <row r="123" spans="1:10" x14ac:dyDescent="0.25">
      <c r="A123" s="4">
        <v>116</v>
      </c>
      <c r="B123">
        <v>0.82274809999999998</v>
      </c>
      <c r="C123" s="3">
        <v>-0.1373758195301</v>
      </c>
      <c r="D123" s="12">
        <f t="shared" si="13"/>
        <v>0.95262942744425594</v>
      </c>
      <c r="E123" s="12">
        <f t="shared" si="14"/>
        <v>-9.6579372372155052E-4</v>
      </c>
      <c r="F123" s="13">
        <f t="shared" si="8"/>
        <v>-7.2486520574919333E-2</v>
      </c>
      <c r="G123" s="12">
        <f t="shared" si="9"/>
        <v>0.94308156736485405</v>
      </c>
      <c r="H123" s="12">
        <f t="shared" si="10"/>
        <v>0.12033346736485406</v>
      </c>
      <c r="I123" s="12">
        <f t="shared" si="11"/>
        <v>1.4480143368048398E-2</v>
      </c>
      <c r="J123" s="15">
        <f t="shared" si="12"/>
        <v>14.625797053175093</v>
      </c>
    </row>
    <row r="124" spans="1:10" x14ac:dyDescent="0.25">
      <c r="A124" s="3">
        <v>117</v>
      </c>
      <c r="B124">
        <v>0.9839871</v>
      </c>
      <c r="C124" s="3">
        <v>0.26097719003994102</v>
      </c>
      <c r="D124" s="12">
        <f t="shared" si="13"/>
        <v>1.0061836981590648</v>
      </c>
      <c r="E124" s="12">
        <f t="shared" si="14"/>
        <v>1.55210090094375E-3</v>
      </c>
      <c r="F124" s="13">
        <f t="shared" si="8"/>
        <v>-9.3899644950169781E-2</v>
      </c>
      <c r="G124" s="12">
        <f t="shared" si="9"/>
        <v>0.83365509765280321</v>
      </c>
      <c r="H124" s="12">
        <f t="shared" si="10"/>
        <v>0.15033200234719679</v>
      </c>
      <c r="I124" s="12">
        <f t="shared" si="11"/>
        <v>2.2599710929717583E-2</v>
      </c>
      <c r="J124" s="15">
        <f t="shared" si="12"/>
        <v>15.277842803751879</v>
      </c>
    </row>
    <row r="125" spans="1:10" x14ac:dyDescent="0.25">
      <c r="A125" s="4">
        <v>118</v>
      </c>
      <c r="B125">
        <v>0.70030740000000002</v>
      </c>
      <c r="C125" s="3">
        <v>-0.39975189691026197</v>
      </c>
      <c r="D125" s="12">
        <f t="shared" si="13"/>
        <v>0.93508338940769353</v>
      </c>
      <c r="E125" s="12">
        <f t="shared" si="14"/>
        <v>-1.8031979897755409E-3</v>
      </c>
      <c r="F125" s="13">
        <f t="shared" si="8"/>
        <v>-0.1392258615339475</v>
      </c>
      <c r="G125" s="12">
        <f t="shared" si="9"/>
        <v>0.90063699114887852</v>
      </c>
      <c r="H125" s="12">
        <f t="shared" si="10"/>
        <v>0.20032959114887849</v>
      </c>
      <c r="I125" s="12">
        <f t="shared" si="11"/>
        <v>4.0131945089876817E-2</v>
      </c>
      <c r="J125" s="15">
        <f t="shared" si="12"/>
        <v>28.605950922249068</v>
      </c>
    </row>
    <row r="126" spans="1:10" x14ac:dyDescent="0.25">
      <c r="A126" s="3">
        <v>119</v>
      </c>
      <c r="B126">
        <v>1.5329537</v>
      </c>
      <c r="C126" s="3">
        <v>2.2177141568608301</v>
      </c>
      <c r="D126" s="12">
        <f t="shared" si="13"/>
        <v>1.0600172634140039</v>
      </c>
      <c r="E126" s="12">
        <f t="shared" si="14"/>
        <v>4.0498873946804986E-3</v>
      </c>
      <c r="F126" s="13">
        <f t="shared" si="8"/>
        <v>0.30625588884473764</v>
      </c>
      <c r="G126" s="12">
        <f t="shared" si="9"/>
        <v>1.1834926712759124</v>
      </c>
      <c r="H126" s="12">
        <f t="shared" si="10"/>
        <v>0.34946102872408757</v>
      </c>
      <c r="I126" s="12">
        <f t="shared" si="11"/>
        <v>0.12212301059689756</v>
      </c>
      <c r="J126" s="15">
        <f t="shared" si="12"/>
        <v>22.796580791976144</v>
      </c>
    </row>
    <row r="127" spans="1:10" x14ac:dyDescent="0.25">
      <c r="A127" s="4">
        <v>120</v>
      </c>
      <c r="B127">
        <v>0.49535430000000003</v>
      </c>
      <c r="C127" s="3">
        <v>-0.77304417692133498</v>
      </c>
      <c r="D127" s="12">
        <f t="shared" si="13"/>
        <v>0.99420217968273428</v>
      </c>
      <c r="E127" s="12">
        <f t="shared" si="14"/>
        <v>8.2332049564900643E-4</v>
      </c>
      <c r="F127" s="13">
        <f t="shared" si="8"/>
        <v>-0.40696370189803527</v>
      </c>
      <c r="G127" s="12">
        <f t="shared" si="9"/>
        <v>0.68799789115229704</v>
      </c>
      <c r="H127" s="12">
        <f t="shared" si="10"/>
        <v>0.19264359115229701</v>
      </c>
      <c r="I127" s="12">
        <f t="shared" si="11"/>
        <v>3.7111553212053366E-2</v>
      </c>
      <c r="J127" s="15">
        <f t="shared" si="12"/>
        <v>38.890061346453841</v>
      </c>
    </row>
    <row r="128" spans="1:10" x14ac:dyDescent="0.25">
      <c r="A128" s="3">
        <v>121</v>
      </c>
      <c r="B128">
        <v>0.912582</v>
      </c>
      <c r="C128" s="3">
        <v>7.6621728321520602E-2</v>
      </c>
      <c r="D128" s="12">
        <f t="shared" si="13"/>
        <v>0.9993659707190059</v>
      </c>
      <c r="E128" s="12">
        <f t="shared" si="14"/>
        <v>1.0237760078590792E-3</v>
      </c>
      <c r="F128" s="13">
        <f t="shared" si="8"/>
        <v>-9.2492418892624051E-2</v>
      </c>
      <c r="G128" s="12">
        <f t="shared" si="9"/>
        <v>0.90061371576885252</v>
      </c>
      <c r="H128" s="12">
        <f t="shared" si="10"/>
        <v>1.1968284231147486E-2</v>
      </c>
      <c r="I128" s="12">
        <f t="shared" si="11"/>
        <v>1.4323982743753356E-4</v>
      </c>
      <c r="J128" s="15">
        <f t="shared" si="12"/>
        <v>1.3114749393640774</v>
      </c>
    </row>
    <row r="129" spans="1:10" x14ac:dyDescent="0.25">
      <c r="A129" s="4">
        <v>122</v>
      </c>
      <c r="B129">
        <v>0.97160519999999995</v>
      </c>
      <c r="C129" s="3">
        <v>0.22805860258279301</v>
      </c>
      <c r="D129" s="12">
        <f t="shared" si="13"/>
        <v>1.0025832641017949</v>
      </c>
      <c r="E129" s="12">
        <f t="shared" si="14"/>
        <v>1.1250789990481852E-3</v>
      </c>
      <c r="F129" s="13">
        <f t="shared" si="8"/>
        <v>-3.3862908068716918E-2</v>
      </c>
      <c r="G129" s="12">
        <f t="shared" si="9"/>
        <v>0.96555686050237599</v>
      </c>
      <c r="H129" s="12">
        <f t="shared" si="10"/>
        <v>6.0483394976239557E-3</v>
      </c>
      <c r="I129" s="12">
        <f t="shared" si="11"/>
        <v>3.6582410678518004E-5</v>
      </c>
      <c r="J129" s="15">
        <f t="shared" si="12"/>
        <v>0.6225099966142581</v>
      </c>
    </row>
    <row r="130" spans="1:10" x14ac:dyDescent="0.25">
      <c r="A130" s="3">
        <v>123</v>
      </c>
      <c r="B130">
        <v>0.9826454</v>
      </c>
      <c r="C130" s="3">
        <v>0.25739030848724098</v>
      </c>
      <c r="D130" s="12">
        <f t="shared" si="13"/>
        <v>1.006867463085696</v>
      </c>
      <c r="E130" s="12">
        <f t="shared" si="14"/>
        <v>1.2709763179609701E-3</v>
      </c>
      <c r="F130" s="13">
        <f t="shared" si="8"/>
        <v>-2.8376836753434401E-2</v>
      </c>
      <c r="G130" s="12">
        <f t="shared" si="9"/>
        <v>0.97393453661660445</v>
      </c>
      <c r="H130" s="12">
        <f t="shared" si="10"/>
        <v>8.7108633833955507E-3</v>
      </c>
      <c r="I130" s="12">
        <f t="shared" si="11"/>
        <v>7.5879140884181379E-5</v>
      </c>
      <c r="J130" s="15">
        <f t="shared" si="12"/>
        <v>0.88647068244511706</v>
      </c>
    </row>
    <row r="131" spans="1:10" x14ac:dyDescent="0.25">
      <c r="A131" s="4">
        <v>124</v>
      </c>
      <c r="B131">
        <v>0.78014720000000004</v>
      </c>
      <c r="C131" s="3">
        <v>-0.23233033044880799</v>
      </c>
      <c r="D131" s="12">
        <f t="shared" si="13"/>
        <v>0.95892676321921577</v>
      </c>
      <c r="E131" s="12">
        <f t="shared" si="14"/>
        <v>-1.0017615485776504E-3</v>
      </c>
      <c r="F131" s="13">
        <f t="shared" si="8"/>
        <v>-0.11405793905275668</v>
      </c>
      <c r="G131" s="12">
        <f t="shared" si="9"/>
        <v>0.91584201063269854</v>
      </c>
      <c r="H131" s="12">
        <f t="shared" si="10"/>
        <v>0.1356948106326985</v>
      </c>
      <c r="I131" s="12">
        <f t="shared" si="11"/>
        <v>1.8413081632643907E-2</v>
      </c>
      <c r="J131" s="15">
        <f t="shared" si="12"/>
        <v>17.39348813053466</v>
      </c>
    </row>
    <row r="132" spans="1:10" x14ac:dyDescent="0.25">
      <c r="A132" s="3">
        <v>125</v>
      </c>
      <c r="B132">
        <v>0.95477069999999997</v>
      </c>
      <c r="C132" s="3">
        <v>0.183950966780146</v>
      </c>
      <c r="D132" s="12">
        <f t="shared" si="13"/>
        <v>0.97907744041434941</v>
      </c>
      <c r="E132" s="12">
        <f t="shared" si="14"/>
        <v>-2.4880608324890155E-5</v>
      </c>
      <c r="F132" s="13">
        <f t="shared" si="8"/>
        <v>-5.2125752013213678E-2</v>
      </c>
      <c r="G132" s="12">
        <f t="shared" si="9"/>
        <v>0.89644559522222134</v>
      </c>
      <c r="H132" s="12">
        <f t="shared" si="10"/>
        <v>5.8325104777778636E-2</v>
      </c>
      <c r="I132" s="12">
        <f t="shared" si="11"/>
        <v>3.4018178473388563E-3</v>
      </c>
      <c r="J132" s="15">
        <f t="shared" si="12"/>
        <v>6.1088075679090945</v>
      </c>
    </row>
    <row r="133" spans="1:10" x14ac:dyDescent="0.25">
      <c r="A133" s="4">
        <v>126</v>
      </c>
      <c r="B133">
        <v>1.1117946000000001</v>
      </c>
      <c r="C133" s="3">
        <v>0.62568488619170004</v>
      </c>
      <c r="D133" s="12">
        <f t="shared" si="13"/>
        <v>0.97521887959753073</v>
      </c>
      <c r="E133" s="12">
        <f t="shared" si="14"/>
        <v>-2.0193107385644643E-4</v>
      </c>
      <c r="F133" s="13">
        <f t="shared" si="8"/>
        <v>0.14161765412361693</v>
      </c>
      <c r="G133" s="12">
        <f t="shared" si="9"/>
        <v>1.1223654756590244</v>
      </c>
      <c r="H133" s="12">
        <f t="shared" si="10"/>
        <v>1.057087565902437E-2</v>
      </c>
      <c r="I133" s="12">
        <f t="shared" si="11"/>
        <v>1.1174341219855391E-4</v>
      </c>
      <c r="J133" s="15">
        <f t="shared" si="12"/>
        <v>0.95079393792921552</v>
      </c>
    </row>
    <row r="134" spans="1:10" x14ac:dyDescent="0.25">
      <c r="A134" s="3">
        <v>127</v>
      </c>
      <c r="B134">
        <v>0.89367509999999994</v>
      </c>
      <c r="C134" s="3">
        <v>2.9971789732134001E-2</v>
      </c>
      <c r="D134" s="12">
        <f t="shared" si="13"/>
        <v>1.0271789801455979</v>
      </c>
      <c r="E134" s="12">
        <f t="shared" si="14"/>
        <v>2.2070627596072465E-3</v>
      </c>
      <c r="F134" s="13">
        <f t="shared" si="8"/>
        <v>-0.20210571751728346</v>
      </c>
      <c r="G134" s="12">
        <f t="shared" si="9"/>
        <v>0.74984506713085808</v>
      </c>
      <c r="H134" s="12">
        <f t="shared" si="10"/>
        <v>0.14383003286914187</v>
      </c>
      <c r="I134" s="12">
        <f t="shared" si="11"/>
        <v>2.068707835513843E-2</v>
      </c>
      <c r="J134" s="15">
        <f t="shared" si="12"/>
        <v>16.094219573661825</v>
      </c>
    </row>
    <row r="135" spans="1:10" x14ac:dyDescent="0.25">
      <c r="A135" s="4">
        <v>128</v>
      </c>
      <c r="B135">
        <v>1.1523606</v>
      </c>
      <c r="C135" s="3">
        <v>0.75153331508200705</v>
      </c>
      <c r="D135" s="12">
        <f t="shared" si="13"/>
        <v>1.1002728160698823</v>
      </c>
      <c r="E135" s="12">
        <f t="shared" si="14"/>
        <v>5.4808194389018069E-3</v>
      </c>
      <c r="F135" s="13">
        <f t="shared" si="8"/>
        <v>-4.1140235248545445E-2</v>
      </c>
      <c r="G135" s="12">
        <f t="shared" si="9"/>
        <v>0.95689952233028575</v>
      </c>
      <c r="H135" s="12">
        <f t="shared" si="10"/>
        <v>0.19546107766971421</v>
      </c>
      <c r="I135" s="12">
        <f t="shared" si="11"/>
        <v>3.8205032883806049E-2</v>
      </c>
      <c r="J135" s="15">
        <f t="shared" si="12"/>
        <v>16.961798040449683</v>
      </c>
    </row>
    <row r="136" spans="1:10" x14ac:dyDescent="0.25">
      <c r="A136" s="3">
        <v>129</v>
      </c>
      <c r="B136">
        <v>0.90874770000000005</v>
      </c>
      <c r="C136" s="3">
        <v>6.7089541717939793E-2</v>
      </c>
      <c r="D136" s="12">
        <f t="shared" si="13"/>
        <v>1.0683606551885274</v>
      </c>
      <c r="E136" s="12">
        <f t="shared" si="14"/>
        <v>3.7539032087358952E-3</v>
      </c>
      <c r="F136" s="13">
        <f t="shared" si="8"/>
        <v>-0.11043490220612176</v>
      </c>
      <c r="G136" s="12">
        <f t="shared" si="9"/>
        <v>1.0118539905586141</v>
      </c>
      <c r="H136" s="12">
        <f t="shared" si="10"/>
        <v>0.10310629055861409</v>
      </c>
      <c r="I136" s="12">
        <f t="shared" si="11"/>
        <v>1.0630907152757352E-2</v>
      </c>
      <c r="J136" s="15">
        <f t="shared" si="12"/>
        <v>11.345975407543159</v>
      </c>
    </row>
    <row r="137" spans="1:10" x14ac:dyDescent="0.25">
      <c r="A137" s="4">
        <v>130</v>
      </c>
      <c r="B137">
        <v>0.93674619999999997</v>
      </c>
      <c r="C137" s="3">
        <v>0.13754162391590499</v>
      </c>
      <c r="D137" s="12">
        <f t="shared" si="13"/>
        <v>1.0735135374323335</v>
      </c>
      <c r="E137" s="12">
        <f t="shared" si="14"/>
        <v>3.8185121160931876E-3</v>
      </c>
      <c r="F137" s="13">
        <f t="shared" si="8"/>
        <v>-0.13860722996078995</v>
      </c>
      <c r="G137" s="12">
        <f t="shared" si="9"/>
        <v>0.93288869686331588</v>
      </c>
      <c r="H137" s="12">
        <f t="shared" si="10"/>
        <v>3.8575031366840928E-3</v>
      </c>
      <c r="I137" s="12">
        <f t="shared" si="11"/>
        <v>1.4880330449527615E-5</v>
      </c>
      <c r="J137" s="15">
        <f t="shared" si="12"/>
        <v>0.41179810888841534</v>
      </c>
    </row>
    <row r="138" spans="1:10" x14ac:dyDescent="0.25">
      <c r="A138" s="3">
        <v>131</v>
      </c>
      <c r="B138">
        <v>1.5275261</v>
      </c>
      <c r="C138" s="3">
        <v>2.1926422552745799</v>
      </c>
      <c r="D138" s="12">
        <f t="shared" si="13"/>
        <v>1.1295332956134141</v>
      </c>
      <c r="E138" s="12">
        <f t="shared" si="14"/>
        <v>6.229316986216803E-3</v>
      </c>
      <c r="F138" s="13">
        <f t="shared" si="8"/>
        <v>0.32933939343231466</v>
      </c>
      <c r="G138" s="12">
        <f t="shared" si="9"/>
        <v>1.3835879383931644</v>
      </c>
      <c r="H138" s="12">
        <f t="shared" si="10"/>
        <v>0.14393816160683559</v>
      </c>
      <c r="I138" s="12">
        <f t="shared" si="11"/>
        <v>2.0718194366755521E-2</v>
      </c>
      <c r="J138" s="15">
        <f t="shared" si="12"/>
        <v>9.4229592284436645</v>
      </c>
    </row>
    <row r="139" spans="1:10" x14ac:dyDescent="0.25">
      <c r="A139" s="4">
        <v>132</v>
      </c>
      <c r="B139">
        <v>0.51646259999999999</v>
      </c>
      <c r="C139" s="3">
        <v>-0.73803549074651698</v>
      </c>
      <c r="D139" s="12">
        <f t="shared" si="13"/>
        <v>1.0587557932841114</v>
      </c>
      <c r="E139" s="12">
        <f t="shared" si="14"/>
        <v>2.6729188341983148E-3</v>
      </c>
      <c r="F139" s="13">
        <f t="shared" si="8"/>
        <v>-0.44101628494809336</v>
      </c>
      <c r="G139" s="12">
        <f t="shared" si="9"/>
        <v>0.72879891070159575</v>
      </c>
      <c r="H139" s="12">
        <f t="shared" si="10"/>
        <v>0.21233631070159575</v>
      </c>
      <c r="I139" s="12">
        <f t="shared" si="11"/>
        <v>4.5086708842364605E-2</v>
      </c>
      <c r="J139" s="15">
        <f t="shared" si="12"/>
        <v>41.113588999783481</v>
      </c>
    </row>
    <row r="140" spans="1:10" x14ac:dyDescent="0.25">
      <c r="A140" s="3">
        <v>133</v>
      </c>
      <c r="B140">
        <v>0.79135650000000002</v>
      </c>
      <c r="C140" s="3">
        <v>-0.20773637432679301</v>
      </c>
      <c r="D140" s="12">
        <f t="shared" si="13"/>
        <v>0.99702684412958165</v>
      </c>
      <c r="E140" s="12">
        <f t="shared" si="14"/>
        <v>-3.0134612489852303E-4</v>
      </c>
      <c r="F140" s="13">
        <f t="shared" si="8"/>
        <v>-0.12097106504056412</v>
      </c>
      <c r="G140" s="12">
        <f t="shared" si="9"/>
        <v>0.96893629322568564</v>
      </c>
      <c r="H140" s="12">
        <f t="shared" si="10"/>
        <v>0.17757979322568562</v>
      </c>
      <c r="I140" s="12">
        <f t="shared" si="11"/>
        <v>3.1534582962077264E-2</v>
      </c>
      <c r="J140" s="15">
        <f t="shared" si="12"/>
        <v>22.43992350169432</v>
      </c>
    </row>
    <row r="141" spans="1:10" x14ac:dyDescent="0.25">
      <c r="A141" s="4">
        <v>134</v>
      </c>
      <c r="B141">
        <v>0.86675690000000005</v>
      </c>
      <c r="C141" s="3">
        <v>-3.4941211838665102E-2</v>
      </c>
      <c r="D141" s="12">
        <f t="shared" si="13"/>
        <v>0.96187138626261315</v>
      </c>
      <c r="E141" s="12">
        <f t="shared" si="14"/>
        <v>-1.911010044166026E-3</v>
      </c>
      <c r="F141" s="13">
        <f t="shared" si="8"/>
        <v>-4.9275472115413541E-2</v>
      </c>
      <c r="G141" s="12">
        <f t="shared" si="9"/>
        <v>0.96286258993596618</v>
      </c>
      <c r="H141" s="12">
        <f t="shared" si="10"/>
        <v>9.6105689935966132E-2</v>
      </c>
      <c r="I141" s="12">
        <f t="shared" si="11"/>
        <v>9.2363036380680615E-3</v>
      </c>
      <c r="J141" s="15">
        <f t="shared" si="12"/>
        <v>11.087963641935373</v>
      </c>
    </row>
    <row r="142" spans="1:10" x14ac:dyDescent="0.25">
      <c r="A142" s="3">
        <v>135</v>
      </c>
      <c r="B142">
        <v>1.0572655</v>
      </c>
      <c r="C142" s="3">
        <v>0.464365357040666</v>
      </c>
      <c r="D142" s="12">
        <f t="shared" si="13"/>
        <v>1.005540748196085</v>
      </c>
      <c r="E142" s="12">
        <f t="shared" si="14"/>
        <v>1.9402366726941635E-4</v>
      </c>
      <c r="F142" s="13">
        <f t="shared" si="8"/>
        <v>-8.2210970927489545E-3</v>
      </c>
      <c r="G142" s="12">
        <f t="shared" si="9"/>
        <v>0.93158353946501271</v>
      </c>
      <c r="H142" s="12">
        <f t="shared" si="10"/>
        <v>0.12568196053498726</v>
      </c>
      <c r="I142" s="12">
        <f t="shared" si="11"/>
        <v>1.5795955203918095E-2</v>
      </c>
      <c r="J142" s="15">
        <f t="shared" si="12"/>
        <v>11.887454999239761</v>
      </c>
    </row>
    <row r="143" spans="1:10" x14ac:dyDescent="0.25">
      <c r="A143" s="4">
        <v>136</v>
      </c>
      <c r="B143">
        <v>0.81036949999999996</v>
      </c>
      <c r="C143" s="3">
        <v>-0.16538504401635101</v>
      </c>
      <c r="D143" s="12">
        <f t="shared" si="13"/>
        <v>0.97624749733134264</v>
      </c>
      <c r="E143" s="12">
        <f t="shared" si="14"/>
        <v>-1.1677841516463537E-3</v>
      </c>
      <c r="F143" s="13">
        <f t="shared" si="8"/>
        <v>-0.1270972760081896</v>
      </c>
      <c r="G143" s="12">
        <f t="shared" si="9"/>
        <v>0.89167683281059773</v>
      </c>
      <c r="H143" s="12">
        <f t="shared" si="10"/>
        <v>8.1307332810597766E-2</v>
      </c>
      <c r="I143" s="12">
        <f t="shared" si="11"/>
        <v>6.6108823687733081E-3</v>
      </c>
      <c r="J143" s="15">
        <f t="shared" si="12"/>
        <v>10.033365373523779</v>
      </c>
    </row>
    <row r="144" spans="1:10" x14ac:dyDescent="0.25">
      <c r="A144" s="3">
        <v>137</v>
      </c>
      <c r="B144">
        <v>0.8643575</v>
      </c>
      <c r="C144" s="3">
        <v>-4.0643193232936498E-2</v>
      </c>
      <c r="D144" s="12">
        <f t="shared" si="13"/>
        <v>0.95382886313588289</v>
      </c>
      <c r="E144" s="12">
        <f t="shared" si="14"/>
        <v>-2.149210011023573E-3</v>
      </c>
      <c r="F144" s="13">
        <f t="shared" si="8"/>
        <v>-6.1522924139441826E-2</v>
      </c>
      <c r="G144" s="12">
        <f t="shared" si="9"/>
        <v>0.92295396116648265</v>
      </c>
      <c r="H144" s="12">
        <f t="shared" si="10"/>
        <v>5.859646116648265E-2</v>
      </c>
      <c r="I144" s="12">
        <f t="shared" si="11"/>
        <v>3.4335452612351092E-3</v>
      </c>
      <c r="J144" s="15">
        <f t="shared" si="12"/>
        <v>6.7791927722594707</v>
      </c>
    </row>
    <row r="145" spans="1:10" x14ac:dyDescent="0.25">
      <c r="A145" s="4">
        <v>138</v>
      </c>
      <c r="B145">
        <v>1.0934978</v>
      </c>
      <c r="C145" s="3">
        <v>0.57057204783070903</v>
      </c>
      <c r="D145" s="12">
        <f t="shared" si="13"/>
        <v>0.95175236470697011</v>
      </c>
      <c r="E145" s="12">
        <f t="shared" si="14"/>
        <v>-2.1458519793771851E-3</v>
      </c>
      <c r="F145" s="13">
        <f t="shared" si="8"/>
        <v>0.14164980734342955</v>
      </c>
      <c r="G145" s="12">
        <f t="shared" si="9"/>
        <v>1.0932973072484762</v>
      </c>
      <c r="H145" s="12">
        <f t="shared" si="10"/>
        <v>2.0049275152378421E-4</v>
      </c>
      <c r="I145" s="12">
        <f t="shared" si="11"/>
        <v>4.0197343413577871E-8</v>
      </c>
      <c r="J145" s="15">
        <f t="shared" si="12"/>
        <v>1.8334993588810532E-2</v>
      </c>
    </row>
    <row r="146" spans="1:10" x14ac:dyDescent="0.25">
      <c r="A146" s="3">
        <v>139</v>
      </c>
      <c r="B146">
        <v>0.83738999999999997</v>
      </c>
      <c r="C146" s="3">
        <v>-0.10379457686739101</v>
      </c>
      <c r="D146" s="12">
        <f t="shared" si="13"/>
        <v>0.98220612665506346</v>
      </c>
      <c r="E146" s="12">
        <f t="shared" si="14"/>
        <v>-6.4030730477968381E-4</v>
      </c>
      <c r="F146" s="13">
        <f t="shared" si="8"/>
        <v>-0.18769009730945996</v>
      </c>
      <c r="G146" s="12">
        <f t="shared" si="9"/>
        <v>0.74750079521030943</v>
      </c>
      <c r="H146" s="12">
        <f t="shared" si="10"/>
        <v>8.9889204789690536E-2</v>
      </c>
      <c r="I146" s="12">
        <f t="shared" si="11"/>
        <v>8.0800691377229238E-3</v>
      </c>
      <c r="J146" s="15">
        <f t="shared" si="12"/>
        <v>10.734449275688812</v>
      </c>
    </row>
    <row r="147" spans="1:10" x14ac:dyDescent="0.25">
      <c r="A147" s="4">
        <v>140</v>
      </c>
      <c r="B147">
        <v>0.86395270000000002</v>
      </c>
      <c r="C147" s="3">
        <v>-4.1603643330901302E-2</v>
      </c>
      <c r="D147" s="12">
        <f t="shared" si="13"/>
        <v>0.95383182722665127</v>
      </c>
      <c r="E147" s="12">
        <f t="shared" si="14"/>
        <v>-1.9211434594642862E-3</v>
      </c>
      <c r="F147" s="13">
        <f t="shared" si="8"/>
        <v>-5.340426690826261E-2</v>
      </c>
      <c r="G147" s="12">
        <f t="shared" si="9"/>
        <v>0.94042558410173827</v>
      </c>
      <c r="H147" s="12">
        <f t="shared" si="10"/>
        <v>7.6472884101738248E-2</v>
      </c>
      <c r="I147" s="12">
        <f t="shared" si="11"/>
        <v>5.8481020028378905E-3</v>
      </c>
      <c r="J147" s="15">
        <f t="shared" si="12"/>
        <v>8.8515128318643193</v>
      </c>
    </row>
    <row r="148" spans="1:10" x14ac:dyDescent="0.25">
      <c r="A148" s="3">
        <v>141</v>
      </c>
      <c r="B148">
        <v>0.80189560000000004</v>
      </c>
      <c r="C148" s="3">
        <v>-0.18435997843239499</v>
      </c>
      <c r="D148" s="12">
        <f t="shared" si="13"/>
        <v>0.93755636123102981</v>
      </c>
      <c r="E148" s="12">
        <f t="shared" si="14"/>
        <v>-2.5840676861084389E-3</v>
      </c>
      <c r="F148" s="13">
        <f t="shared" si="8"/>
        <v>-0.11678241486324181</v>
      </c>
      <c r="G148" s="12">
        <f t="shared" si="9"/>
        <v>0.84147578156106528</v>
      </c>
      <c r="H148" s="12">
        <f t="shared" si="10"/>
        <v>3.9580181561065242E-2</v>
      </c>
      <c r="I148" s="12">
        <f t="shared" si="11"/>
        <v>1.566590772406889E-3</v>
      </c>
      <c r="J148" s="15">
        <f t="shared" si="12"/>
        <v>4.9358272524584548</v>
      </c>
    </row>
    <row r="149" spans="1:10" x14ac:dyDescent="0.25">
      <c r="A149" s="4">
        <v>142</v>
      </c>
      <c r="B149">
        <v>0.86008470000000004</v>
      </c>
      <c r="C149" s="3">
        <v>-5.0762888115602499E-2</v>
      </c>
      <c r="D149" s="12">
        <f t="shared" si="13"/>
        <v>0.95808113683279017</v>
      </c>
      <c r="E149" s="12">
        <f t="shared" si="14"/>
        <v>-1.5168343125609807E-3</v>
      </c>
      <c r="F149" s="13">
        <f t="shared" ref="F149:F212" si="15">$G$3*(B149-D149)+(1-$G$3)*F137</f>
        <v>-0.128388449179484</v>
      </c>
      <c r="G149" s="12">
        <f t="shared" ref="G149:G212" si="16">D148+E148+F137</f>
        <v>0.79636506358413151</v>
      </c>
      <c r="H149" s="12">
        <f t="shared" ref="H149:H212" si="17">ABS(B149-G149)</f>
        <v>6.371963641586853E-2</v>
      </c>
      <c r="I149" s="12">
        <f t="shared" ref="I149:I212" si="18">(B149-G149)^2</f>
        <v>4.0601920649704793E-3</v>
      </c>
      <c r="J149" s="15">
        <f t="shared" ref="J149:J212" si="19">ABS((B149 - G149) / B149) * 100</f>
        <v>7.4085303942586735</v>
      </c>
    </row>
    <row r="150" spans="1:10" x14ac:dyDescent="0.25">
      <c r="A150" s="3">
        <v>143</v>
      </c>
      <c r="B150">
        <v>1.5246206</v>
      </c>
      <c r="C150" s="3">
        <v>2.1792765718036402</v>
      </c>
      <c r="D150" s="12">
        <f t="shared" si="13"/>
        <v>1.043138423718825</v>
      </c>
      <c r="E150" s="12">
        <f t="shared" si="14"/>
        <v>2.4814095751885838E-3</v>
      </c>
      <c r="F150" s="13">
        <f t="shared" si="15"/>
        <v>0.36762265819126894</v>
      </c>
      <c r="G150" s="12">
        <f t="shared" si="16"/>
        <v>1.2859036959525438</v>
      </c>
      <c r="H150" s="12">
        <f t="shared" si="17"/>
        <v>0.23871690404745616</v>
      </c>
      <c r="I150" s="12">
        <f t="shared" si="18"/>
        <v>5.6985760278002388E-2</v>
      </c>
      <c r="J150" s="15">
        <f t="shared" si="19"/>
        <v>15.657462849935003</v>
      </c>
    </row>
    <row r="151" spans="1:10" x14ac:dyDescent="0.25">
      <c r="A151" s="4">
        <v>144</v>
      </c>
      <c r="B151">
        <v>0.79151280000000002</v>
      </c>
      <c r="C151" s="3">
        <v>-0.20739136575279801</v>
      </c>
      <c r="D151" s="12">
        <f t="shared" si="13"/>
        <v>1.1134051636643436</v>
      </c>
      <c r="E151" s="12">
        <f t="shared" si="14"/>
        <v>5.6119326354290445E-3</v>
      </c>
      <c r="F151" s="13">
        <f t="shared" si="15"/>
        <v>-0.41104146437339018</v>
      </c>
      <c r="G151" s="12">
        <f t="shared" si="16"/>
        <v>0.60460354834592023</v>
      </c>
      <c r="H151" s="12">
        <f t="shared" si="17"/>
        <v>0.18690925165407979</v>
      </c>
      <c r="I151" s="12">
        <f t="shared" si="18"/>
        <v>3.4935068353888127E-2</v>
      </c>
      <c r="J151" s="15">
        <f t="shared" si="19"/>
        <v>23.614179284792336</v>
      </c>
    </row>
    <row r="152" spans="1:10" x14ac:dyDescent="0.25">
      <c r="A152" s="3">
        <v>145</v>
      </c>
      <c r="B152">
        <v>0.99538479999999996</v>
      </c>
      <c r="C152" s="3">
        <v>0.29164149212347601</v>
      </c>
      <c r="D152" s="12">
        <f t="shared" ref="D152:D215" si="20">$E$3 * (B152 - F140) + (1 - $E$3) * (D151 + E151)</f>
        <v>1.1180519624794782</v>
      </c>
      <c r="E152" s="12">
        <f t="shared" ref="E152:E215" si="21">$F$3 * (D152 - D151) + (1 - $F$3) * E151</f>
        <v>5.5673599577693942E-3</v>
      </c>
      <c r="F152" s="13">
        <f t="shared" si="15"/>
        <v>-0.12139784931580272</v>
      </c>
      <c r="G152" s="12">
        <f t="shared" si="16"/>
        <v>0.99804603125920865</v>
      </c>
      <c r="H152" s="12">
        <f t="shared" si="17"/>
        <v>2.6612312592086962E-3</v>
      </c>
      <c r="I152" s="12">
        <f t="shared" si="18"/>
        <v>7.0821518149895027E-6</v>
      </c>
      <c r="J152" s="15">
        <f t="shared" si="19"/>
        <v>0.2673570320953963</v>
      </c>
    </row>
    <row r="153" spans="1:10" x14ac:dyDescent="0.25">
      <c r="A153" s="4">
        <v>146</v>
      </c>
      <c r="B153">
        <v>1.0879566000000001</v>
      </c>
      <c r="C153" s="3">
        <v>0.55407906885024405</v>
      </c>
      <c r="D153" s="12">
        <f t="shared" si="20"/>
        <v>1.1285561820416659</v>
      </c>
      <c r="E153" s="12">
        <f t="shared" si="21"/>
        <v>5.795358445825234E-3</v>
      </c>
      <c r="F153" s="13">
        <f t="shared" si="15"/>
        <v>-4.7092382056893846E-2</v>
      </c>
      <c r="G153" s="12">
        <f t="shared" si="16"/>
        <v>1.0743438503218341</v>
      </c>
      <c r="H153" s="12">
        <f t="shared" si="17"/>
        <v>1.3612749678165947E-2</v>
      </c>
      <c r="I153" s="12">
        <f t="shared" si="18"/>
        <v>1.8530695380040711E-4</v>
      </c>
      <c r="J153" s="15">
        <f t="shared" si="19"/>
        <v>1.2512217562875161</v>
      </c>
    </row>
    <row r="154" spans="1:10" x14ac:dyDescent="0.25">
      <c r="A154" s="3">
        <v>147</v>
      </c>
      <c r="B154">
        <v>0.62947679999999995</v>
      </c>
      <c r="C154" s="3">
        <v>-0.53749527964922295</v>
      </c>
      <c r="D154" s="12">
        <f t="shared" si="20"/>
        <v>0.95423294818020765</v>
      </c>
      <c r="E154" s="12">
        <f t="shared" si="21"/>
        <v>-2.5230402949561158E-3</v>
      </c>
      <c r="F154" s="13">
        <f t="shared" si="15"/>
        <v>-8.7869930506742647E-2</v>
      </c>
      <c r="G154" s="12">
        <v>0.628</v>
      </c>
      <c r="H154" s="12">
        <f t="shared" si="17"/>
        <v>1.4767999999999448E-3</v>
      </c>
      <c r="I154" s="12">
        <f t="shared" si="18"/>
        <v>2.1809382399998369E-6</v>
      </c>
      <c r="J154" s="15">
        <f t="shared" si="19"/>
        <v>0.23460753438410198</v>
      </c>
    </row>
    <row r="155" spans="1:10" x14ac:dyDescent="0.25">
      <c r="A155" s="4">
        <v>148</v>
      </c>
      <c r="B155">
        <v>0.9786918</v>
      </c>
      <c r="C155" s="3">
        <v>0.24684914284833701</v>
      </c>
      <c r="D155" s="12">
        <f t="shared" si="20"/>
        <v>1.0075889359267776</v>
      </c>
      <c r="E155" s="12">
        <f t="shared" si="21"/>
        <v>5.7615208412038071E-5</v>
      </c>
      <c r="F155" s="13">
        <f t="shared" si="15"/>
        <v>-0.10238744822859833</v>
      </c>
      <c r="G155" s="12">
        <f t="shared" si="16"/>
        <v>0.82461263187706191</v>
      </c>
      <c r="H155" s="12">
        <f t="shared" si="17"/>
        <v>0.15407916812293809</v>
      </c>
      <c r="I155" s="12">
        <f t="shared" si="18"/>
        <v>2.3740390049456623E-2</v>
      </c>
      <c r="J155" s="15">
        <f t="shared" si="19"/>
        <v>15.743379899876356</v>
      </c>
    </row>
    <row r="156" spans="1:10" x14ac:dyDescent="0.25">
      <c r="A156" s="3">
        <v>149</v>
      </c>
      <c r="B156">
        <v>0.93605559999999999</v>
      </c>
      <c r="C156" s="3">
        <v>0.13578005656334899</v>
      </c>
      <c r="D156" s="12">
        <f t="shared" si="20"/>
        <v>1.0039952362321305</v>
      </c>
      <c r="E156" s="12">
        <f t="shared" si="21"/>
        <v>-1.1101309865348885E-4</v>
      </c>
      <c r="F156" s="13">
        <f t="shared" si="15"/>
        <v>-6.3137543533977408E-2</v>
      </c>
      <c r="G156" s="12">
        <f t="shared" si="16"/>
        <v>0.9461236269957477</v>
      </c>
      <c r="H156" s="12">
        <f t="shared" si="17"/>
        <v>1.0068026995747714E-2</v>
      </c>
      <c r="I156" s="12">
        <f t="shared" si="18"/>
        <v>1.0136516758710475E-4</v>
      </c>
      <c r="J156" s="15">
        <f t="shared" si="19"/>
        <v>1.0755800185104085</v>
      </c>
    </row>
    <row r="157" spans="1:10" x14ac:dyDescent="0.25">
      <c r="A157" s="4">
        <v>150</v>
      </c>
      <c r="B157">
        <v>1.1669643000000001</v>
      </c>
      <c r="C157" s="3">
        <v>0.79810274717296703</v>
      </c>
      <c r="D157" s="12">
        <f t="shared" si="20"/>
        <v>1.0116562188302796</v>
      </c>
      <c r="E157" s="12">
        <f t="shared" si="21"/>
        <v>2.4792019295999553E-4</v>
      </c>
      <c r="F157" s="13">
        <f t="shared" si="15"/>
        <v>0.14508660075059121</v>
      </c>
      <c r="G157" s="12">
        <f t="shared" si="16"/>
        <v>1.1455340304769066</v>
      </c>
      <c r="H157" s="12">
        <f t="shared" si="17"/>
        <v>2.1430269523093459E-2</v>
      </c>
      <c r="I157" s="12">
        <f t="shared" si="18"/>
        <v>4.5925645183242836E-4</v>
      </c>
      <c r="J157" s="15">
        <f t="shared" si="19"/>
        <v>1.8364117499647126</v>
      </c>
    </row>
    <row r="158" spans="1:10" x14ac:dyDescent="0.25">
      <c r="A158" s="3">
        <v>151</v>
      </c>
      <c r="B158">
        <v>0.89122619999999997</v>
      </c>
      <c r="C158" s="3">
        <v>2.3993706666480898E-2</v>
      </c>
      <c r="D158" s="12">
        <f t="shared" si="20"/>
        <v>1.0362070627579467</v>
      </c>
      <c r="E158" s="12">
        <f t="shared" si="21"/>
        <v>1.3702996630771316E-3</v>
      </c>
      <c r="F158" s="13">
        <f t="shared" si="15"/>
        <v>-0.17694329155652375</v>
      </c>
      <c r="G158" s="12">
        <f t="shared" si="16"/>
        <v>0.82421404171377954</v>
      </c>
      <c r="H158" s="12">
        <f t="shared" si="17"/>
        <v>6.7012158286220425E-2</v>
      </c>
      <c r="I158" s="12">
        <f t="shared" si="18"/>
        <v>4.4906293581774611E-3</v>
      </c>
      <c r="J158" s="15">
        <f t="shared" si="19"/>
        <v>7.5190965308493425</v>
      </c>
    </row>
    <row r="159" spans="1:10" x14ac:dyDescent="0.25">
      <c r="A159" s="4">
        <v>152</v>
      </c>
      <c r="B159">
        <v>0.86880789999999997</v>
      </c>
      <c r="C159" s="3">
        <v>-3.0056695988207899E-2</v>
      </c>
      <c r="D159" s="12">
        <f t="shared" si="20"/>
        <v>0.99573851377193101</v>
      </c>
      <c r="E159" s="12">
        <f t="shared" si="21"/>
        <v>-5.6193965469751692E-4</v>
      </c>
      <c r="F159" s="13">
        <f t="shared" si="15"/>
        <v>-7.1905496812390196E-2</v>
      </c>
      <c r="G159" s="12">
        <f t="shared" si="16"/>
        <v>0.98417309551276122</v>
      </c>
      <c r="H159" s="12">
        <f t="shared" si="17"/>
        <v>0.11536519551276125</v>
      </c>
      <c r="I159" s="12">
        <f t="shared" si="18"/>
        <v>1.3309128335697629E-2</v>
      </c>
      <c r="J159" s="15">
        <f t="shared" si="19"/>
        <v>13.278561982776774</v>
      </c>
    </row>
    <row r="160" spans="1:10" x14ac:dyDescent="0.25">
      <c r="A160" s="3">
        <v>153</v>
      </c>
      <c r="B160">
        <v>0.88956550000000001</v>
      </c>
      <c r="C160" s="3">
        <v>1.9948116865732099E-2</v>
      </c>
      <c r="D160" s="12">
        <f t="shared" si="20"/>
        <v>0.999228021632251</v>
      </c>
      <c r="E160" s="12">
        <f t="shared" si="21"/>
        <v>-3.7483206366233795E-4</v>
      </c>
      <c r="F160" s="13">
        <f t="shared" si="15"/>
        <v>-0.11499085595710373</v>
      </c>
      <c r="G160" s="12">
        <f t="shared" si="16"/>
        <v>0.87839415925399167</v>
      </c>
      <c r="H160" s="12">
        <f t="shared" si="17"/>
        <v>1.117134074600834E-2</v>
      </c>
      <c r="I160" s="12">
        <f t="shared" si="18"/>
        <v>1.2479885406342618E-4</v>
      </c>
      <c r="J160" s="15">
        <f t="shared" si="19"/>
        <v>1.2558199195009632</v>
      </c>
    </row>
    <row r="161" spans="1:10" x14ac:dyDescent="0.25">
      <c r="A161" s="4">
        <v>154</v>
      </c>
      <c r="B161">
        <v>1.0982025</v>
      </c>
      <c r="C161" s="3">
        <v>0.584647275220332</v>
      </c>
      <c r="D161" s="12">
        <f t="shared" si="20"/>
        <v>1.081445566010145</v>
      </c>
      <c r="E161" s="12">
        <f t="shared" si="21"/>
        <v>3.4395233084776634E-3</v>
      </c>
      <c r="F161" s="13">
        <f t="shared" si="15"/>
        <v>-9.1865920615433277E-2</v>
      </c>
      <c r="G161" s="12">
        <f t="shared" si="16"/>
        <v>0.87046474038910471</v>
      </c>
      <c r="H161" s="12">
        <f t="shared" si="17"/>
        <v>0.22773775961089526</v>
      </c>
      <c r="I161" s="12">
        <f t="shared" si="18"/>
        <v>5.1864487152589921E-2</v>
      </c>
      <c r="J161" s="15">
        <f t="shared" si="19"/>
        <v>20.737319356939661</v>
      </c>
    </row>
    <row r="162" spans="1:10" x14ac:dyDescent="0.25">
      <c r="A162" s="3">
        <v>155</v>
      </c>
      <c r="B162">
        <v>1.4995546</v>
      </c>
      <c r="C162" s="3">
        <v>2.06556956462288</v>
      </c>
      <c r="D162" s="12">
        <f t="shared" si="20"/>
        <v>1.1019473075379129</v>
      </c>
      <c r="E162" s="12">
        <f t="shared" si="21"/>
        <v>4.2275060077214318E-3</v>
      </c>
      <c r="F162" s="13">
        <f t="shared" si="15"/>
        <v>0.37516760821121486</v>
      </c>
      <c r="G162" s="12">
        <f t="shared" si="16"/>
        <v>1.4525077475098915</v>
      </c>
      <c r="H162" s="12">
        <f t="shared" si="17"/>
        <v>4.7046852490108426E-2</v>
      </c>
      <c r="I162" s="12">
        <f t="shared" si="18"/>
        <v>2.2134063292260212E-3</v>
      </c>
      <c r="J162" s="15">
        <f t="shared" si="19"/>
        <v>3.1373884278777462</v>
      </c>
    </row>
    <row r="163" spans="1:10" x14ac:dyDescent="0.25">
      <c r="A163" s="4">
        <v>156</v>
      </c>
      <c r="B163">
        <v>0.51416600000000001</v>
      </c>
      <c r="C163" s="3">
        <v>-0.74188050778390102</v>
      </c>
      <c r="D163" s="12">
        <f t="shared" si="20"/>
        <v>1.040544399634469</v>
      </c>
      <c r="E163" s="12">
        <f t="shared" si="21"/>
        <v>1.1965032364793611E-3</v>
      </c>
      <c r="F163" s="13">
        <f t="shared" si="15"/>
        <v>-0.44006337620125918</v>
      </c>
      <c r="G163" s="12">
        <f t="shared" si="16"/>
        <v>0.69513334917224423</v>
      </c>
      <c r="H163" s="12">
        <f t="shared" si="17"/>
        <v>0.18096734917224422</v>
      </c>
      <c r="I163" s="12">
        <f t="shared" si="18"/>
        <v>3.274918146642896E-2</v>
      </c>
      <c r="J163" s="15">
        <f t="shared" si="19"/>
        <v>35.196288586223943</v>
      </c>
    </row>
    <row r="164" spans="1:10" x14ac:dyDescent="0.25">
      <c r="A164" s="3">
        <v>157</v>
      </c>
      <c r="B164">
        <v>0.96472089999999999</v>
      </c>
      <c r="C164" s="3">
        <v>0.20993154155025601</v>
      </c>
      <c r="D164" s="12">
        <f t="shared" si="20"/>
        <v>1.0578351676318791</v>
      </c>
      <c r="E164" s="12">
        <f t="shared" si="21"/>
        <v>1.9397830390037484E-3</v>
      </c>
      <c r="F164" s="13">
        <f t="shared" si="15"/>
        <v>-0.11428093042118251</v>
      </c>
      <c r="G164" s="12">
        <f t="shared" si="16"/>
        <v>0.92034305355514556</v>
      </c>
      <c r="H164" s="12">
        <f t="shared" si="17"/>
        <v>4.437784644485443E-2</v>
      </c>
      <c r="I164" s="12">
        <f t="shared" si="18"/>
        <v>1.9693932550830791E-3</v>
      </c>
      <c r="J164" s="15">
        <f t="shared" si="19"/>
        <v>4.6000710096416935</v>
      </c>
    </row>
    <row r="165" spans="1:10" x14ac:dyDescent="0.25">
      <c r="A165" s="4">
        <v>158</v>
      </c>
      <c r="B165">
        <v>0.84565199999999996</v>
      </c>
      <c r="C165" s="3">
        <v>-8.46275681340425E-2</v>
      </c>
      <c r="D165" s="12">
        <f t="shared" si="20"/>
        <v>0.99919891082670331</v>
      </c>
      <c r="E165" s="12">
        <f t="shared" si="21"/>
        <v>-8.5779408563697217E-4</v>
      </c>
      <c r="F165" s="13">
        <f t="shared" si="15"/>
        <v>-7.3879238675211956E-2</v>
      </c>
      <c r="G165" s="12">
        <f t="shared" si="16"/>
        <v>1.0126825686139891</v>
      </c>
      <c r="H165" s="12">
        <f t="shared" si="17"/>
        <v>0.16703056861398913</v>
      </c>
      <c r="I165" s="12">
        <f t="shared" si="18"/>
        <v>2.7899210851512531E-2</v>
      </c>
      <c r="J165" s="15">
        <f t="shared" si="19"/>
        <v>19.751690839019968</v>
      </c>
    </row>
    <row r="166" spans="1:10" x14ac:dyDescent="0.25">
      <c r="A166" s="3">
        <v>159</v>
      </c>
      <c r="B166">
        <v>1.0111873</v>
      </c>
      <c r="C166" s="3">
        <v>0.33473899873149898</v>
      </c>
      <c r="D166" s="12">
        <f t="shared" si="20"/>
        <v>1.0348672650446145</v>
      </c>
      <c r="E166" s="12">
        <f t="shared" si="21"/>
        <v>8.2908932912720832E-4</v>
      </c>
      <c r="F166" s="13">
        <f t="shared" si="15"/>
        <v>-7.1717988254601892E-2</v>
      </c>
      <c r="G166" s="12">
        <f t="shared" si="16"/>
        <v>0.91047118623432366</v>
      </c>
      <c r="H166" s="12">
        <f t="shared" si="17"/>
        <v>0.10071611376567635</v>
      </c>
      <c r="I166" s="12">
        <f t="shared" si="18"/>
        <v>1.0143735572060662E-2</v>
      </c>
      <c r="J166" s="15">
        <f t="shared" si="19"/>
        <v>9.9601838122053508</v>
      </c>
    </row>
    <row r="167" spans="1:10" x14ac:dyDescent="0.25">
      <c r="A167" s="4">
        <v>160</v>
      </c>
      <c r="B167">
        <v>0.86535280000000003</v>
      </c>
      <c r="C167" s="3">
        <v>-3.8279686503122697E-2</v>
      </c>
      <c r="D167" s="12">
        <f t="shared" si="20"/>
        <v>1.0110510943613853</v>
      </c>
      <c r="E167" s="12">
        <f t="shared" si="21"/>
        <v>-3.0910022269466813E-4</v>
      </c>
      <c r="F167" s="13">
        <f t="shared" si="15"/>
        <v>-0.11328563582835427</v>
      </c>
      <c r="G167" s="12">
        <f t="shared" si="16"/>
        <v>0.93330890614514328</v>
      </c>
      <c r="H167" s="12">
        <f t="shared" si="17"/>
        <v>6.7956106145143247E-2</v>
      </c>
      <c r="I167" s="12">
        <f t="shared" si="18"/>
        <v>4.6180323624099755E-3</v>
      </c>
      <c r="J167" s="15">
        <f t="shared" si="19"/>
        <v>7.8529943099673618</v>
      </c>
    </row>
    <row r="168" spans="1:10" x14ac:dyDescent="0.25">
      <c r="A168" s="3">
        <v>161</v>
      </c>
      <c r="B168">
        <v>0.90903460000000003</v>
      </c>
      <c r="C168" s="3">
        <v>6.7801613997732699E-2</v>
      </c>
      <c r="D168" s="12">
        <f t="shared" si="20"/>
        <v>0.99675408266594312</v>
      </c>
      <c r="E168" s="12">
        <f t="shared" si="21"/>
        <v>-9.5510252423696568E-4</v>
      </c>
      <c r="F168" s="13">
        <f t="shared" si="15"/>
        <v>-6.932302842163332E-2</v>
      </c>
      <c r="G168" s="12">
        <f t="shared" si="16"/>
        <v>0.94760445060471321</v>
      </c>
      <c r="H168" s="12">
        <f t="shared" si="17"/>
        <v>3.8569850604713185E-2</v>
      </c>
      <c r="I168" s="12">
        <f t="shared" si="18"/>
        <v>1.487633375669894E-3</v>
      </c>
      <c r="J168" s="15">
        <f t="shared" si="19"/>
        <v>4.2429463746168938</v>
      </c>
    </row>
    <row r="169" spans="1:10" x14ac:dyDescent="0.25">
      <c r="A169" s="4">
        <v>162</v>
      </c>
      <c r="B169">
        <v>1.1318699999999999</v>
      </c>
      <c r="C169" s="3">
        <v>0.68732715631996499</v>
      </c>
      <c r="D169" s="12">
        <f t="shared" si="20"/>
        <v>0.99252934996633191</v>
      </c>
      <c r="E169" s="12">
        <f t="shared" si="21"/>
        <v>-1.106103524107394E-3</v>
      </c>
      <c r="F169" s="13">
        <f t="shared" si="15"/>
        <v>0.14364076317309404</v>
      </c>
      <c r="G169" s="12">
        <f t="shared" si="16"/>
        <v>1.1408855808922973</v>
      </c>
      <c r="H169" s="12">
        <f t="shared" si="17"/>
        <v>9.0155808922973701E-3</v>
      </c>
      <c r="I169" s="12">
        <f t="shared" si="18"/>
        <v>8.1280698825557447E-5</v>
      </c>
      <c r="J169" s="15">
        <f t="shared" si="19"/>
        <v>0.79652088069278015</v>
      </c>
    </row>
    <row r="170" spans="1:10" x14ac:dyDescent="0.25">
      <c r="A170" s="3">
        <v>163</v>
      </c>
      <c r="B170">
        <v>0.68817070000000002</v>
      </c>
      <c r="C170" s="3">
        <v>-0.42405194296123699</v>
      </c>
      <c r="D170" s="12">
        <f t="shared" si="20"/>
        <v>0.94561537713940735</v>
      </c>
      <c r="E170" s="12">
        <f t="shared" si="21"/>
        <v>-3.2216437215144469E-3</v>
      </c>
      <c r="F170" s="13">
        <f t="shared" si="15"/>
        <v>-0.19719963102938415</v>
      </c>
      <c r="G170" s="12">
        <f t="shared" si="16"/>
        <v>0.81447995488570069</v>
      </c>
      <c r="H170" s="12">
        <f t="shared" si="17"/>
        <v>0.12630925488570066</v>
      </c>
      <c r="I170" s="12">
        <f t="shared" si="18"/>
        <v>1.5954027869780896E-2</v>
      </c>
      <c r="J170" s="15">
        <f t="shared" si="19"/>
        <v>18.354349420238417</v>
      </c>
    </row>
    <row r="171" spans="1:10" x14ac:dyDescent="0.25">
      <c r="A171" s="4">
        <v>164</v>
      </c>
      <c r="B171">
        <v>0.87944670000000003</v>
      </c>
      <c r="C171" s="3">
        <v>-4.55760908053805E-3</v>
      </c>
      <c r="D171" s="12">
        <f t="shared" si="20"/>
        <v>0.94564264911057561</v>
      </c>
      <c r="E171" s="12">
        <f t="shared" si="21"/>
        <v>-3.0715993765041863E-3</v>
      </c>
      <c r="F171" s="13">
        <f t="shared" si="15"/>
        <v>-7.0468819224209195E-2</v>
      </c>
      <c r="G171" s="12">
        <f t="shared" si="16"/>
        <v>0.87048823660550267</v>
      </c>
      <c r="H171" s="12">
        <f t="shared" si="17"/>
        <v>8.9584633944973513E-3</v>
      </c>
      <c r="I171" s="12">
        <f t="shared" si="18"/>
        <v>8.0254066390549004E-5</v>
      </c>
      <c r="J171" s="15">
        <f t="shared" si="19"/>
        <v>1.0186476786481036</v>
      </c>
    </row>
    <row r="172" spans="1:10" x14ac:dyDescent="0.25">
      <c r="A172" s="3">
        <v>165</v>
      </c>
      <c r="B172">
        <v>0.88707429999999998</v>
      </c>
      <c r="C172" s="3">
        <v>1.38919889603704E-2</v>
      </c>
      <c r="D172" s="12">
        <f t="shared" si="20"/>
        <v>0.96414744367779903</v>
      </c>
      <c r="E172" s="12">
        <f t="shared" si="21"/>
        <v>-2.0751389561056619E-3</v>
      </c>
      <c r="F172" s="13">
        <f t="shared" si="15"/>
        <v>-0.10544972761002654</v>
      </c>
      <c r="G172" s="12">
        <f t="shared" si="16"/>
        <v>0.82758019377696779</v>
      </c>
      <c r="H172" s="12">
        <f t="shared" si="17"/>
        <v>5.9494106223032195E-2</v>
      </c>
      <c r="I172" s="12">
        <f t="shared" si="18"/>
        <v>3.5395486752774381E-3</v>
      </c>
      <c r="J172" s="15">
        <f t="shared" si="19"/>
        <v>6.7067782510475391</v>
      </c>
    </row>
    <row r="173" spans="1:10" x14ac:dyDescent="0.25">
      <c r="A173" s="4">
        <v>166</v>
      </c>
      <c r="B173">
        <v>0.96048489999999997</v>
      </c>
      <c r="C173" s="3">
        <v>0.19883958224748499</v>
      </c>
      <c r="D173" s="12">
        <f t="shared" si="20"/>
        <v>0.99481310792455435</v>
      </c>
      <c r="E173" s="12">
        <f t="shared" si="21"/>
        <v>-5.6307375147528053E-4</v>
      </c>
      <c r="F173" s="13">
        <f t="shared" si="15"/>
        <v>-7.7387866202837385E-2</v>
      </c>
      <c r="G173" s="12">
        <f t="shared" si="16"/>
        <v>0.87020638410626006</v>
      </c>
      <c r="H173" s="12">
        <f t="shared" si="17"/>
        <v>9.0278515893739919E-2</v>
      </c>
      <c r="I173" s="12">
        <f t="shared" si="18"/>
        <v>8.1502104319762514E-3</v>
      </c>
      <c r="J173" s="15">
        <f t="shared" si="19"/>
        <v>9.3992644646198933</v>
      </c>
    </row>
    <row r="174" spans="1:10" x14ac:dyDescent="0.25">
      <c r="A174" s="3">
        <v>167</v>
      </c>
      <c r="B174">
        <v>1.5526754</v>
      </c>
      <c r="C174" s="3">
        <v>2.3099686120234799</v>
      </c>
      <c r="D174" s="12">
        <f t="shared" si="20"/>
        <v>1.0607110976730105</v>
      </c>
      <c r="E174" s="12">
        <f t="shared" si="21"/>
        <v>2.5062908257564485E-3</v>
      </c>
      <c r="F174" s="13">
        <f t="shared" si="15"/>
        <v>0.40455683509453455</v>
      </c>
      <c r="G174" s="12">
        <f t="shared" si="16"/>
        <v>1.3694176423842941</v>
      </c>
      <c r="H174" s="12">
        <f t="shared" si="17"/>
        <v>0.18325775761570595</v>
      </c>
      <c r="I174" s="12">
        <f t="shared" si="18"/>
        <v>3.3583405726336835E-2</v>
      </c>
      <c r="J174" s="15">
        <f t="shared" si="19"/>
        <v>11.802708899471579</v>
      </c>
    </row>
    <row r="175" spans="1:10" x14ac:dyDescent="0.25">
      <c r="A175" s="4">
        <v>168</v>
      </c>
      <c r="B175">
        <v>0.50102029999999997</v>
      </c>
      <c r="C175" s="3">
        <v>-0.76371947740401203</v>
      </c>
      <c r="D175" s="12">
        <f t="shared" si="20"/>
        <v>1.0189238398157761</v>
      </c>
      <c r="E175" s="12">
        <f t="shared" si="21"/>
        <v>4.606863444558797E-4</v>
      </c>
      <c r="F175" s="13">
        <f t="shared" si="15"/>
        <v>-0.45965007980122685</v>
      </c>
      <c r="G175" s="12">
        <f t="shared" si="16"/>
        <v>0.62315401229750789</v>
      </c>
      <c r="H175" s="12">
        <f t="shared" si="17"/>
        <v>0.12213371229750791</v>
      </c>
      <c r="I175" s="12">
        <f t="shared" si="18"/>
        <v>1.4916643679570435E-2</v>
      </c>
      <c r="J175" s="15">
        <f t="shared" si="19"/>
        <v>24.376998755840415</v>
      </c>
    </row>
    <row r="176" spans="1:10" x14ac:dyDescent="0.25">
      <c r="A176" s="3">
        <v>169</v>
      </c>
      <c r="B176">
        <v>0.7170223</v>
      </c>
      <c r="C176" s="3">
        <v>-0.36579887407174599</v>
      </c>
      <c r="D176" s="12">
        <f t="shared" si="20"/>
        <v>0.95117413713279864</v>
      </c>
      <c r="E176" s="12">
        <f t="shared" si="21"/>
        <v>-2.6894671567774479E-3</v>
      </c>
      <c r="F176" s="13">
        <f t="shared" si="15"/>
        <v>-0.14444371285888447</v>
      </c>
      <c r="G176" s="12">
        <f t="shared" si="16"/>
        <v>0.90510359573904942</v>
      </c>
      <c r="H176" s="12">
        <f t="shared" si="17"/>
        <v>0.18808129573904941</v>
      </c>
      <c r="I176" s="12">
        <f t="shared" si="18"/>
        <v>3.5374573806879771E-2</v>
      </c>
      <c r="J176" s="15">
        <f t="shared" si="19"/>
        <v>26.230885111808856</v>
      </c>
    </row>
    <row r="177" spans="1:10" x14ac:dyDescent="0.25">
      <c r="A177" s="4">
        <v>170</v>
      </c>
      <c r="B177">
        <v>0.96619469999999996</v>
      </c>
      <c r="C177" s="3">
        <v>0.213801537842922</v>
      </c>
      <c r="D177" s="12">
        <f t="shared" si="20"/>
        <v>0.98170083654995688</v>
      </c>
      <c r="E177" s="12">
        <f t="shared" si="21"/>
        <v>-1.1554482936340382E-3</v>
      </c>
      <c r="F177" s="13">
        <f t="shared" si="15"/>
        <v>-5.9190977545647942E-2</v>
      </c>
      <c r="G177" s="12">
        <f t="shared" si="16"/>
        <v>0.87460543130080926</v>
      </c>
      <c r="H177" s="12">
        <f t="shared" si="17"/>
        <v>9.1589268699190707E-2</v>
      </c>
      <c r="I177" s="12">
        <f t="shared" si="18"/>
        <v>8.3885941408525545E-3</v>
      </c>
      <c r="J177" s="15">
        <f t="shared" si="19"/>
        <v>9.4793801600433856</v>
      </c>
    </row>
    <row r="178" spans="1:10" x14ac:dyDescent="0.25">
      <c r="A178" s="3">
        <v>171</v>
      </c>
      <c r="B178">
        <v>1.0609843999999999</v>
      </c>
      <c r="C178" s="3">
        <v>0.47508996497669498</v>
      </c>
      <c r="D178" s="12">
        <f t="shared" si="20"/>
        <v>1.0357273143609236</v>
      </c>
      <c r="E178" s="12">
        <f t="shared" si="21"/>
        <v>1.3930130214494173E-3</v>
      </c>
      <c r="F178" s="13">
        <f t="shared" si="15"/>
        <v>-4.7316420468248979E-2</v>
      </c>
      <c r="G178" s="12">
        <f t="shared" si="16"/>
        <v>0.90882740000172102</v>
      </c>
      <c r="H178" s="12">
        <f t="shared" si="17"/>
        <v>0.15215699999827892</v>
      </c>
      <c r="I178" s="12">
        <f t="shared" si="18"/>
        <v>2.315175264847625E-2</v>
      </c>
      <c r="J178" s="15">
        <f t="shared" si="19"/>
        <v>14.341115665628912</v>
      </c>
    </row>
    <row r="179" spans="1:10" x14ac:dyDescent="0.25">
      <c r="A179" s="4">
        <v>172</v>
      </c>
      <c r="B179">
        <v>1.0408141</v>
      </c>
      <c r="C179" s="3">
        <v>0.41739747141698202</v>
      </c>
      <c r="D179" s="12">
        <f t="shared" si="20"/>
        <v>1.0795445935856962</v>
      </c>
      <c r="E179" s="12">
        <f t="shared" si="21"/>
        <v>3.3522886189526653E-3</v>
      </c>
      <c r="F179" s="13">
        <f t="shared" si="15"/>
        <v>-9.4525533008014986E-2</v>
      </c>
      <c r="G179" s="12">
        <f t="shared" si="16"/>
        <v>0.92383469155401876</v>
      </c>
      <c r="H179" s="12">
        <f t="shared" si="17"/>
        <v>0.1169794084459812</v>
      </c>
      <c r="I179" s="12">
        <f t="shared" si="18"/>
        <v>1.3684182000371699E-2</v>
      </c>
      <c r="J179" s="15">
        <f t="shared" si="19"/>
        <v>11.239222109498826</v>
      </c>
    </row>
    <row r="180" spans="1:10" x14ac:dyDescent="0.25">
      <c r="A180" s="3">
        <v>173</v>
      </c>
      <c r="B180">
        <v>0.92291429999999997</v>
      </c>
      <c r="C180" s="3">
        <v>0.102490173520967</v>
      </c>
      <c r="D180" s="12">
        <f t="shared" si="20"/>
        <v>1.0500178901268149</v>
      </c>
      <c r="E180" s="12">
        <f t="shared" si="21"/>
        <v>1.8338414514785801E-3</v>
      </c>
      <c r="F180" s="13">
        <f t="shared" si="15"/>
        <v>-8.3862190255408933E-2</v>
      </c>
      <c r="G180" s="12">
        <f t="shared" si="16"/>
        <v>1.0135738537830157</v>
      </c>
      <c r="H180" s="12">
        <f t="shared" si="17"/>
        <v>9.0659553783015712E-2</v>
      </c>
      <c r="I180" s="12">
        <f t="shared" si="18"/>
        <v>8.2191546921355184E-3</v>
      </c>
      <c r="J180" s="15">
        <f t="shared" si="19"/>
        <v>9.8231822589611753</v>
      </c>
    </row>
    <row r="181" spans="1:10" x14ac:dyDescent="0.25">
      <c r="A181" s="4">
        <v>174</v>
      </c>
      <c r="B181">
        <v>1.3249188999999999</v>
      </c>
      <c r="C181" s="3">
        <v>1.3477565384143799</v>
      </c>
      <c r="D181" s="12">
        <f t="shared" si="20"/>
        <v>1.0987900803265851</v>
      </c>
      <c r="E181" s="12">
        <f t="shared" si="21"/>
        <v>4.0015904668385905E-3</v>
      </c>
      <c r="F181" s="13">
        <f t="shared" si="15"/>
        <v>0.16439700311640076</v>
      </c>
      <c r="G181" s="12">
        <f t="shared" si="16"/>
        <v>1.1954924947513876</v>
      </c>
      <c r="H181" s="12">
        <f t="shared" si="17"/>
        <v>0.12942640524861226</v>
      </c>
      <c r="I181" s="12">
        <f t="shared" si="18"/>
        <v>1.6751194375578007E-2</v>
      </c>
      <c r="J181" s="15">
        <f t="shared" si="19"/>
        <v>9.7686284985905392</v>
      </c>
    </row>
    <row r="182" spans="1:10" x14ac:dyDescent="0.25">
      <c r="A182" s="3">
        <v>175</v>
      </c>
      <c r="B182">
        <v>0.60194859999999994</v>
      </c>
      <c r="C182" s="3">
        <v>-0.58845087618095104</v>
      </c>
      <c r="D182" s="12">
        <f t="shared" si="20"/>
        <v>0.99267100690418086</v>
      </c>
      <c r="E182" s="12">
        <f t="shared" si="21"/>
        <v>-1.0841010217309791E-3</v>
      </c>
      <c r="F182" s="13">
        <f t="shared" si="15"/>
        <v>-0.24589522819788373</v>
      </c>
      <c r="G182" s="12">
        <f t="shared" si="16"/>
        <v>0.90559203976403957</v>
      </c>
      <c r="H182" s="12">
        <f t="shared" si="17"/>
        <v>0.30364343976403962</v>
      </c>
      <c r="I182" s="12">
        <f t="shared" si="18"/>
        <v>9.2199338511737963E-2</v>
      </c>
      <c r="J182" s="15">
        <f t="shared" si="19"/>
        <v>50.443416558164543</v>
      </c>
    </row>
    <row r="183" spans="1:10" x14ac:dyDescent="0.25">
      <c r="A183" s="4">
        <v>176</v>
      </c>
      <c r="B183">
        <v>0.80174080000000003</v>
      </c>
      <c r="C183" s="3">
        <v>-0.18470517245664</v>
      </c>
      <c r="D183" s="12">
        <f t="shared" si="20"/>
        <v>0.94829301463185167</v>
      </c>
      <c r="E183" s="12">
        <f t="shared" si="21"/>
        <v>-3.0835384248842691E-3</v>
      </c>
      <c r="F183" s="13">
        <f t="shared" si="15"/>
        <v>-8.9613472132553162E-2</v>
      </c>
      <c r="G183" s="12">
        <f t="shared" si="16"/>
        <v>0.92111808665824069</v>
      </c>
      <c r="H183" s="12">
        <f t="shared" si="17"/>
        <v>0.11937728665824066</v>
      </c>
      <c r="I183" s="12">
        <f t="shared" si="18"/>
        <v>1.4250936569883762E-2</v>
      </c>
      <c r="J183" s="15">
        <f t="shared" si="19"/>
        <v>14.889760712968661</v>
      </c>
    </row>
    <row r="184" spans="1:10" x14ac:dyDescent="0.25">
      <c r="A184" s="3">
        <v>177</v>
      </c>
      <c r="B184">
        <v>0.89767140000000001</v>
      </c>
      <c r="C184" s="3">
        <v>3.9758687298203199E-2</v>
      </c>
      <c r="D184" s="12">
        <f t="shared" si="20"/>
        <v>0.96621197013334048</v>
      </c>
      <c r="E184" s="12">
        <f t="shared" si="21"/>
        <v>-2.1135823709730862E-3</v>
      </c>
      <c r="F184" s="13">
        <f t="shared" si="15"/>
        <v>-9.6162379099295037E-2</v>
      </c>
      <c r="G184" s="12">
        <f t="shared" si="16"/>
        <v>0.8397597485969408</v>
      </c>
      <c r="H184" s="12">
        <f t="shared" si="17"/>
        <v>5.7911651403059206E-2</v>
      </c>
      <c r="I184" s="12">
        <f t="shared" si="18"/>
        <v>3.3537593682294491E-3</v>
      </c>
      <c r="J184" s="15">
        <f t="shared" si="19"/>
        <v>6.451319648042614</v>
      </c>
    </row>
    <row r="185" spans="1:10" x14ac:dyDescent="0.25">
      <c r="A185" s="4">
        <v>178</v>
      </c>
      <c r="B185">
        <v>0.86541239999999997</v>
      </c>
      <c r="C185" s="3">
        <v>-3.8137934662401902E-2</v>
      </c>
      <c r="D185" s="12">
        <f t="shared" si="20"/>
        <v>0.9563743174266085</v>
      </c>
      <c r="E185" s="12">
        <f t="shared" si="21"/>
        <v>-2.4703023304821483E-3</v>
      </c>
      <c r="F185" s="13">
        <f t="shared" si="15"/>
        <v>-8.0803466911071251E-2</v>
      </c>
      <c r="G185" s="12">
        <f t="shared" si="16"/>
        <v>0.88671052155953012</v>
      </c>
      <c r="H185" s="12">
        <f t="shared" si="17"/>
        <v>2.1298121559530148E-2</v>
      </c>
      <c r="I185" s="12">
        <f t="shared" si="18"/>
        <v>4.5360998196452288E-4</v>
      </c>
      <c r="J185" s="15">
        <f t="shared" si="19"/>
        <v>2.4610372533985125</v>
      </c>
    </row>
    <row r="186" spans="1:10" x14ac:dyDescent="0.25">
      <c r="A186" s="3">
        <v>179</v>
      </c>
      <c r="B186">
        <v>1.5415076000000001</v>
      </c>
      <c r="C186" s="3">
        <v>2.2575039710417801</v>
      </c>
      <c r="D186" s="12">
        <f t="shared" si="20"/>
        <v>1.0202885535779611</v>
      </c>
      <c r="E186" s="12">
        <f t="shared" si="21"/>
        <v>5.9552809957454707E-4</v>
      </c>
      <c r="F186" s="13">
        <f t="shared" si="15"/>
        <v>0.43391222244835126</v>
      </c>
      <c r="G186" s="12">
        <f t="shared" si="16"/>
        <v>1.358460850190661</v>
      </c>
      <c r="H186" s="12">
        <f t="shared" si="17"/>
        <v>0.1830467498093391</v>
      </c>
      <c r="I186" s="12">
        <f t="shared" si="18"/>
        <v>3.3506112615762786E-2</v>
      </c>
      <c r="J186" s="15">
        <f t="shared" si="19"/>
        <v>11.874527884866678</v>
      </c>
    </row>
    <row r="187" spans="1:10" x14ac:dyDescent="0.25">
      <c r="A187" s="4">
        <v>180</v>
      </c>
      <c r="B187">
        <v>0.31880320000000001</v>
      </c>
      <c r="C187" s="3">
        <v>-1.0386431602601101</v>
      </c>
      <c r="D187" s="12">
        <f t="shared" si="20"/>
        <v>0.93296306197572199</v>
      </c>
      <c r="E187" s="12">
        <f t="shared" si="21"/>
        <v>-3.4649194655944661E-3</v>
      </c>
      <c r="F187" s="13">
        <f t="shared" si="15"/>
        <v>-0.49852894600883846</v>
      </c>
      <c r="G187" s="12">
        <f t="shared" si="16"/>
        <v>0.5612340018763089</v>
      </c>
      <c r="H187" s="12">
        <f t="shared" si="17"/>
        <v>0.24243080187630889</v>
      </c>
      <c r="I187" s="12">
        <f t="shared" si="18"/>
        <v>5.8772693698390131E-2</v>
      </c>
      <c r="J187" s="15">
        <f t="shared" si="19"/>
        <v>76.044030259517115</v>
      </c>
    </row>
    <row r="188" spans="1:10" x14ac:dyDescent="0.25">
      <c r="A188" s="3">
        <v>181</v>
      </c>
      <c r="B188">
        <v>0.96300169999999996</v>
      </c>
      <c r="C188" s="3">
        <v>0.20542413936708301</v>
      </c>
      <c r="D188" s="12">
        <f t="shared" si="20"/>
        <v>0.99403328136677926</v>
      </c>
      <c r="E188" s="12">
        <f t="shared" si="21"/>
        <v>-4.8449967147633395E-4</v>
      </c>
      <c r="F188" s="13">
        <f t="shared" si="15"/>
        <v>-0.11590613404318241</v>
      </c>
      <c r="G188" s="12">
        <f t="shared" si="16"/>
        <v>0.78505442965124306</v>
      </c>
      <c r="H188" s="12">
        <f t="shared" si="17"/>
        <v>0.1779472703487569</v>
      </c>
      <c r="I188" s="12">
        <f t="shared" si="18"/>
        <v>3.1665231024573574E-2</v>
      </c>
      <c r="J188" s="15">
        <f t="shared" si="19"/>
        <v>18.478396284114236</v>
      </c>
    </row>
    <row r="189" spans="1:10" x14ac:dyDescent="0.25">
      <c r="A189" s="4">
        <v>182</v>
      </c>
      <c r="B189">
        <v>0.92197499999999999</v>
      </c>
      <c r="C189" s="3">
        <v>0.10012740179194</v>
      </c>
      <c r="D189" s="12">
        <f t="shared" si="20"/>
        <v>0.98905797953988628</v>
      </c>
      <c r="E189" s="12">
        <f t="shared" si="21"/>
        <v>-6.9189793345578589E-4</v>
      </c>
      <c r="F189" s="13">
        <f t="shared" si="15"/>
        <v>-6.1176820029702941E-2</v>
      </c>
      <c r="G189" s="12">
        <f t="shared" si="16"/>
        <v>0.93435780414965497</v>
      </c>
      <c r="H189" s="12">
        <f t="shared" si="17"/>
        <v>1.238280414965498E-2</v>
      </c>
      <c r="I189" s="12">
        <f t="shared" si="18"/>
        <v>1.533338386087126E-4</v>
      </c>
      <c r="J189" s="15">
        <f t="shared" si="19"/>
        <v>1.3430737438276505</v>
      </c>
    </row>
    <row r="190" spans="1:10" x14ac:dyDescent="0.25">
      <c r="A190" s="3">
        <v>183</v>
      </c>
      <c r="B190">
        <v>0.6582789</v>
      </c>
      <c r="C190" s="3">
        <v>-0.48265850575191699</v>
      </c>
      <c r="D190" s="12">
        <f t="shared" si="20"/>
        <v>0.88581519504948403</v>
      </c>
      <c r="E190" s="12">
        <f t="shared" si="21"/>
        <v>-5.4279951606981038E-3</v>
      </c>
      <c r="F190" s="13">
        <f t="shared" si="15"/>
        <v>-9.2664645630351261E-2</v>
      </c>
      <c r="G190" s="12">
        <f t="shared" si="16"/>
        <v>0.94104966113818145</v>
      </c>
      <c r="H190" s="12">
        <f t="shared" si="17"/>
        <v>0.28277076113818145</v>
      </c>
      <c r="I190" s="12">
        <f t="shared" si="18"/>
        <v>7.9959303354666472E-2</v>
      </c>
      <c r="J190" s="15">
        <f t="shared" si="19"/>
        <v>42.956072439536108</v>
      </c>
    </row>
    <row r="191" spans="1:10" x14ac:dyDescent="0.25">
      <c r="A191" s="4">
        <v>184</v>
      </c>
      <c r="B191">
        <v>0.96352510000000002</v>
      </c>
      <c r="C191" s="3">
        <v>0.20679560583798501</v>
      </c>
      <c r="D191" s="12">
        <f t="shared" si="20"/>
        <v>0.94481940108876916</v>
      </c>
      <c r="E191" s="12">
        <f t="shared" si="21"/>
        <v>-2.4523293259721786E-3</v>
      </c>
      <c r="F191" s="13">
        <f t="shared" si="15"/>
        <v>-6.6033473448059904E-2</v>
      </c>
      <c r="G191" s="12">
        <f t="shared" si="16"/>
        <v>0.78586166688077086</v>
      </c>
      <c r="H191" s="12">
        <f t="shared" si="17"/>
        <v>0.17766343311922916</v>
      </c>
      <c r="I191" s="12">
        <f t="shared" si="18"/>
        <v>3.1564295467710814E-2</v>
      </c>
      <c r="J191" s="15">
        <f t="shared" si="19"/>
        <v>18.438900358613299</v>
      </c>
    </row>
    <row r="192" spans="1:10" x14ac:dyDescent="0.25">
      <c r="A192" s="3">
        <v>185</v>
      </c>
      <c r="B192">
        <v>0.75374859999999999</v>
      </c>
      <c r="C192" s="3">
        <v>-0.28917312650681598</v>
      </c>
      <c r="D192" s="12">
        <f t="shared" si="20"/>
        <v>0.90437569847600241</v>
      </c>
      <c r="E192" s="12">
        <f t="shared" si="21"/>
        <v>-4.2068810780216369E-3</v>
      </c>
      <c r="F192" s="13">
        <f t="shared" si="15"/>
        <v>-0.10066205818312646</v>
      </c>
      <c r="G192" s="12">
        <f t="shared" si="16"/>
        <v>0.85850488150738802</v>
      </c>
      <c r="H192" s="12">
        <f t="shared" si="17"/>
        <v>0.10475628150738803</v>
      </c>
      <c r="I192" s="12">
        <f t="shared" si="18"/>
        <v>1.0973878515255126E-2</v>
      </c>
      <c r="J192" s="15">
        <f t="shared" si="19"/>
        <v>13.898039944271609</v>
      </c>
    </row>
    <row r="193" spans="1:10" x14ac:dyDescent="0.25">
      <c r="A193" s="4">
        <v>186</v>
      </c>
      <c r="B193">
        <v>1.0376563999999999</v>
      </c>
      <c r="C193" s="3">
        <v>0.40847058811457998</v>
      </c>
      <c r="D193" s="12">
        <f t="shared" si="20"/>
        <v>0.89040972873062385</v>
      </c>
      <c r="E193" s="12">
        <f t="shared" si="21"/>
        <v>-4.6575840834238878E-3</v>
      </c>
      <c r="F193" s="13">
        <f t="shared" si="15"/>
        <v>0.16008151287421285</v>
      </c>
      <c r="G193" s="12">
        <f t="shared" si="16"/>
        <v>1.0645658205143815</v>
      </c>
      <c r="H193" s="12">
        <f t="shared" si="17"/>
        <v>2.690942051438161E-2</v>
      </c>
      <c r="I193" s="12">
        <f t="shared" si="18"/>
        <v>7.2411691241982179E-4</v>
      </c>
      <c r="J193" s="15">
        <f t="shared" si="19"/>
        <v>2.5932881553452196</v>
      </c>
    </row>
    <row r="194" spans="1:10" x14ac:dyDescent="0.25">
      <c r="A194" s="3">
        <v>187</v>
      </c>
      <c r="B194">
        <v>0.79283959999999998</v>
      </c>
      <c r="C194" s="3">
        <v>-0.20446169883147799</v>
      </c>
      <c r="D194" s="12">
        <f t="shared" si="20"/>
        <v>0.94123351677646661</v>
      </c>
      <c r="E194" s="12">
        <f t="shared" si="21"/>
        <v>-2.0952934828535499E-3</v>
      </c>
      <c r="F194" s="13">
        <f t="shared" si="15"/>
        <v>-0.22136124472789936</v>
      </c>
      <c r="G194" s="12">
        <f t="shared" si="16"/>
        <v>0.63985691644931619</v>
      </c>
      <c r="H194" s="12">
        <f t="shared" si="17"/>
        <v>0.15298268355068378</v>
      </c>
      <c r="I194" s="12">
        <f t="shared" si="18"/>
        <v>2.3403701466368654E-2</v>
      </c>
      <c r="J194" s="15">
        <f t="shared" si="19"/>
        <v>19.295540176182392</v>
      </c>
    </row>
    <row r="195" spans="1:10" x14ac:dyDescent="0.25">
      <c r="A195" s="4">
        <v>188</v>
      </c>
      <c r="B195">
        <v>0.86803920000000001</v>
      </c>
      <c r="C195" s="3">
        <v>-3.1888625543645598E-2</v>
      </c>
      <c r="D195" s="12">
        <f t="shared" si="20"/>
        <v>0.94585275465075958</v>
      </c>
      <c r="E195" s="12">
        <f t="shared" si="21"/>
        <v>-1.7851969599419286E-3</v>
      </c>
      <c r="F195" s="13">
        <f t="shared" si="15"/>
        <v>-8.6644291757181177E-2</v>
      </c>
      <c r="G195" s="12">
        <f t="shared" si="16"/>
        <v>0.84952475116105997</v>
      </c>
      <c r="H195" s="12">
        <f t="shared" si="17"/>
        <v>1.8514448838940045E-2</v>
      </c>
      <c r="I195" s="12">
        <f t="shared" si="18"/>
        <v>3.4278481580972837E-4</v>
      </c>
      <c r="J195" s="15">
        <f t="shared" si="19"/>
        <v>2.1329046935829679</v>
      </c>
    </row>
    <row r="196" spans="1:10" x14ac:dyDescent="0.25">
      <c r="A196" s="3">
        <v>189</v>
      </c>
      <c r="B196">
        <v>0.96346690000000001</v>
      </c>
      <c r="C196" s="3">
        <v>0.20664284616570699</v>
      </c>
      <c r="D196" s="12">
        <f t="shared" si="20"/>
        <v>0.98597767928466595</v>
      </c>
      <c r="E196" s="12">
        <f t="shared" si="21"/>
        <v>1.5033394903555468E-4</v>
      </c>
      <c r="F196" s="13">
        <f t="shared" si="15"/>
        <v>-7.7629632143923349E-2</v>
      </c>
      <c r="G196" s="12">
        <f t="shared" si="16"/>
        <v>0.84790517859152259</v>
      </c>
      <c r="H196" s="12">
        <f t="shared" si="17"/>
        <v>0.11556172140847742</v>
      </c>
      <c r="I196" s="12">
        <f t="shared" si="18"/>
        <v>1.335451145489055E-2</v>
      </c>
      <c r="J196" s="15">
        <f t="shared" si="19"/>
        <v>11.994363419073082</v>
      </c>
    </row>
    <row r="197" spans="1:10" x14ac:dyDescent="0.25">
      <c r="A197" s="4">
        <v>190</v>
      </c>
      <c r="B197">
        <v>1.071761</v>
      </c>
      <c r="C197" s="3">
        <v>0.50639427733435105</v>
      </c>
      <c r="D197" s="12">
        <f t="shared" si="20"/>
        <v>1.0464885887447875</v>
      </c>
      <c r="E197" s="12">
        <f t="shared" si="21"/>
        <v>2.9379603061617729E-3</v>
      </c>
      <c r="F197" s="13">
        <f t="shared" si="15"/>
        <v>-5.4111889089646932E-2</v>
      </c>
      <c r="G197" s="12">
        <f t="shared" si="16"/>
        <v>0.90532454632263026</v>
      </c>
      <c r="H197" s="12">
        <f t="shared" si="17"/>
        <v>0.1664364536773697</v>
      </c>
      <c r="I197" s="12">
        <f t="shared" si="18"/>
        <v>2.7701093112699231E-2</v>
      </c>
      <c r="J197" s="15">
        <f t="shared" si="19"/>
        <v>15.529250801005981</v>
      </c>
    </row>
    <row r="198" spans="1:10" x14ac:dyDescent="0.25">
      <c r="A198" s="3">
        <v>191</v>
      </c>
      <c r="B198">
        <v>1.4402488</v>
      </c>
      <c r="C198" s="3">
        <v>1.80762233765113</v>
      </c>
      <c r="D198" s="12">
        <f t="shared" si="20"/>
        <v>1.0337993506759113</v>
      </c>
      <c r="E198" s="12">
        <f t="shared" si="21"/>
        <v>2.2162509833224837E-3</v>
      </c>
      <c r="F198" s="13">
        <f t="shared" si="15"/>
        <v>0.4270018413257996</v>
      </c>
      <c r="G198" s="12">
        <f t="shared" si="16"/>
        <v>1.4833387714993003</v>
      </c>
      <c r="H198" s="12">
        <f t="shared" si="17"/>
        <v>4.3089971499300272E-2</v>
      </c>
      <c r="I198" s="12">
        <f t="shared" si="18"/>
        <v>1.8567456438105098E-3</v>
      </c>
      <c r="J198" s="15">
        <f t="shared" si="19"/>
        <v>2.9918422080476841</v>
      </c>
    </row>
    <row r="199" spans="1:10" x14ac:dyDescent="0.25">
      <c r="A199" s="4">
        <v>192</v>
      </c>
      <c r="B199">
        <v>0.51503829999999995</v>
      </c>
      <c r="C199" s="3">
        <v>-0.74042109218128105</v>
      </c>
      <c r="D199" s="12">
        <f t="shared" si="20"/>
        <v>1.0278743823746532</v>
      </c>
      <c r="E199" s="12">
        <f t="shared" si="21"/>
        <v>1.8402658760785519E-3</v>
      </c>
      <c r="F199" s="13">
        <f t="shared" si="15"/>
        <v>-0.50212901088985928</v>
      </c>
      <c r="G199" s="12">
        <f t="shared" si="16"/>
        <v>0.53748665565039544</v>
      </c>
      <c r="H199" s="12">
        <f t="shared" si="17"/>
        <v>2.2448355650395491E-2</v>
      </c>
      <c r="I199" s="12">
        <f t="shared" si="18"/>
        <v>5.0392867140664312E-4</v>
      </c>
      <c r="J199" s="15">
        <f t="shared" si="19"/>
        <v>4.3585798668556288</v>
      </c>
    </row>
    <row r="200" spans="1:10" x14ac:dyDescent="0.25">
      <c r="A200" s="3">
        <v>193</v>
      </c>
      <c r="B200">
        <v>0.84313139999999998</v>
      </c>
      <c r="C200" s="3">
        <v>-9.04920006391704E-2</v>
      </c>
      <c r="D200" s="12">
        <f t="shared" si="20"/>
        <v>1.0040825755000102</v>
      </c>
      <c r="E200" s="12">
        <f t="shared" si="21"/>
        <v>6.5650245131523149E-4</v>
      </c>
      <c r="F200" s="13">
        <f t="shared" si="15"/>
        <v>-0.12724069238291591</v>
      </c>
      <c r="G200" s="12">
        <f t="shared" si="16"/>
        <v>0.91380851420754938</v>
      </c>
      <c r="H200" s="12">
        <f t="shared" si="17"/>
        <v>7.0677114207549407E-2</v>
      </c>
      <c r="I200" s="12">
        <f t="shared" si="18"/>
        <v>4.9952544727069823E-3</v>
      </c>
      <c r="J200" s="15">
        <f t="shared" si="19"/>
        <v>8.3826926867567035</v>
      </c>
    </row>
    <row r="201" spans="1:10" x14ac:dyDescent="0.25">
      <c r="A201" s="4">
        <v>194</v>
      </c>
      <c r="B201">
        <v>0.87565669999999995</v>
      </c>
      <c r="C201" s="3">
        <v>-1.36724581555732E-2</v>
      </c>
      <c r="D201" s="12">
        <f t="shared" si="20"/>
        <v>0.98011214997978913</v>
      </c>
      <c r="E201" s="12">
        <f t="shared" si="21"/>
        <v>-4.8084047371859426E-4</v>
      </c>
      <c r="F201" s="13">
        <f t="shared" si="15"/>
        <v>-7.206690116112198E-2</v>
      </c>
      <c r="G201" s="12">
        <f t="shared" si="16"/>
        <v>0.94356225792162252</v>
      </c>
      <c r="H201" s="12">
        <f t="shared" si="17"/>
        <v>6.7905557921622561E-2</v>
      </c>
      <c r="I201" s="12">
        <f t="shared" si="18"/>
        <v>4.6111647966468362E-3</v>
      </c>
      <c r="J201" s="15">
        <f t="shared" si="19"/>
        <v>7.7548150915333096</v>
      </c>
    </row>
    <row r="202" spans="1:10" x14ac:dyDescent="0.25">
      <c r="A202" s="3">
        <v>195</v>
      </c>
      <c r="B202">
        <v>0.93733829999999996</v>
      </c>
      <c r="C202" s="3">
        <v>0.13905292368836</v>
      </c>
      <c r="D202" s="12">
        <f t="shared" si="20"/>
        <v>0.99789930836520502</v>
      </c>
      <c r="E202" s="12">
        <f t="shared" si="21"/>
        <v>3.6282867092569601E-4</v>
      </c>
      <c r="F202" s="13">
        <f t="shared" si="15"/>
        <v>-8.4586496787971061E-2</v>
      </c>
      <c r="G202" s="12">
        <f t="shared" si="16"/>
        <v>0.88696666387571932</v>
      </c>
      <c r="H202" s="12">
        <f t="shared" si="17"/>
        <v>5.0371636124280639E-2</v>
      </c>
      <c r="I202" s="12">
        <f t="shared" si="18"/>
        <v>2.537301725836934E-3</v>
      </c>
      <c r="J202" s="15">
        <f t="shared" si="19"/>
        <v>5.3739014104385401</v>
      </c>
    </row>
    <row r="203" spans="1:10" x14ac:dyDescent="0.25">
      <c r="A203" s="4">
        <v>196</v>
      </c>
      <c r="B203">
        <v>0.77624210000000005</v>
      </c>
      <c r="C203" s="3">
        <v>-0.24083372074979201</v>
      </c>
      <c r="D203" s="12">
        <f t="shared" si="20"/>
        <v>0.94169136457528524</v>
      </c>
      <c r="E203" s="12">
        <f t="shared" si="21"/>
        <v>-2.2497735950331448E-3</v>
      </c>
      <c r="F203" s="13">
        <f t="shared" si="15"/>
        <v>-9.1049192114947497E-2</v>
      </c>
      <c r="G203" s="12">
        <f t="shared" si="16"/>
        <v>0.93222866358807088</v>
      </c>
      <c r="H203" s="12">
        <f t="shared" si="17"/>
        <v>0.15598656358807084</v>
      </c>
      <c r="I203" s="12">
        <f t="shared" si="18"/>
        <v>2.4331808020015267E-2</v>
      </c>
      <c r="J203" s="15">
        <f t="shared" si="19"/>
        <v>20.095091929189465</v>
      </c>
    </row>
    <row r="204" spans="1:10" x14ac:dyDescent="0.25">
      <c r="A204" s="3">
        <v>197</v>
      </c>
      <c r="B204">
        <v>0.86029219999999995</v>
      </c>
      <c r="C204" s="3">
        <v>-5.0272414665877597E-2</v>
      </c>
      <c r="D204" s="12">
        <f t="shared" si="20"/>
        <v>0.9472434693816093</v>
      </c>
      <c r="E204" s="12">
        <f t="shared" si="21"/>
        <v>-1.889460233495982E-3</v>
      </c>
      <c r="F204" s="13">
        <f t="shared" si="15"/>
        <v>-9.7212050578993056E-2</v>
      </c>
      <c r="G204" s="12">
        <f t="shared" si="16"/>
        <v>0.83877953279712558</v>
      </c>
      <c r="H204" s="12">
        <f t="shared" si="17"/>
        <v>2.1512667202874369E-2</v>
      </c>
      <c r="I204" s="12">
        <f t="shared" si="18"/>
        <v>4.6279485018162653E-4</v>
      </c>
      <c r="J204" s="15">
        <f t="shared" si="19"/>
        <v>2.5006233001850267</v>
      </c>
    </row>
    <row r="205" spans="1:10" x14ac:dyDescent="0.25">
      <c r="A205" s="4">
        <v>198</v>
      </c>
      <c r="B205">
        <v>1.0027936</v>
      </c>
      <c r="C205" s="3">
        <v>0.31176248001510098</v>
      </c>
      <c r="D205" s="12">
        <f t="shared" si="20"/>
        <v>0.90812943876137953</v>
      </c>
      <c r="E205" s="12">
        <f t="shared" si="21"/>
        <v>-3.6085988047261544E-3</v>
      </c>
      <c r="F205" s="13">
        <f t="shared" si="15"/>
        <v>0.14362072685728511</v>
      </c>
      <c r="G205" s="12">
        <f t="shared" si="16"/>
        <v>1.1054355220223262</v>
      </c>
      <c r="H205" s="12">
        <f t="shared" si="17"/>
        <v>0.10264192202232625</v>
      </c>
      <c r="I205" s="12">
        <f t="shared" si="18"/>
        <v>1.0535364156437303E-2</v>
      </c>
      <c r="J205" s="15">
        <f t="shared" si="19"/>
        <v>10.235598035560484</v>
      </c>
    </row>
    <row r="206" spans="1:10" x14ac:dyDescent="0.25">
      <c r="A206" s="3">
        <v>199</v>
      </c>
      <c r="B206">
        <v>0.8587108</v>
      </c>
      <c r="C206" s="3">
        <v>-5.4007736326876797E-2</v>
      </c>
      <c r="D206" s="12">
        <f t="shared" si="20"/>
        <v>0.96818701114411154</v>
      </c>
      <c r="E206" s="12">
        <f t="shared" si="21"/>
        <v>-6.6831045663258296E-4</v>
      </c>
      <c r="F206" s="13">
        <f t="shared" si="15"/>
        <v>-0.19320792530618403</v>
      </c>
      <c r="G206" s="12">
        <f t="shared" si="16"/>
        <v>0.68315959522875391</v>
      </c>
      <c r="H206" s="12">
        <f t="shared" si="17"/>
        <v>0.17555120477124608</v>
      </c>
      <c r="I206" s="12">
        <f t="shared" si="18"/>
        <v>3.0818225496635973E-2</v>
      </c>
      <c r="J206" s="15">
        <f t="shared" si="19"/>
        <v>20.443577135776806</v>
      </c>
    </row>
    <row r="207" spans="1:10" x14ac:dyDescent="0.25">
      <c r="A207" s="4">
        <v>200</v>
      </c>
      <c r="B207">
        <v>0.75229100000000004</v>
      </c>
      <c r="C207" s="3">
        <v>-0.29226818591660902</v>
      </c>
      <c r="D207" s="12">
        <f t="shared" si="20"/>
        <v>0.92088607668759992</v>
      </c>
      <c r="E207" s="12">
        <f t="shared" si="21"/>
        <v>-2.8219402168416195E-3</v>
      </c>
      <c r="F207" s="13">
        <f t="shared" si="15"/>
        <v>-0.10726533955155468</v>
      </c>
      <c r="G207" s="12">
        <f t="shared" si="16"/>
        <v>0.88087440893029778</v>
      </c>
      <c r="H207" s="12">
        <f t="shared" si="17"/>
        <v>0.12858340893029774</v>
      </c>
      <c r="I207" s="12">
        <f t="shared" si="18"/>
        <v>1.6533693052136172E-2</v>
      </c>
      <c r="J207" s="15">
        <f t="shared" si="19"/>
        <v>17.092243417812753</v>
      </c>
    </row>
    <row r="208" spans="1:10" x14ac:dyDescent="0.25">
      <c r="A208" s="3">
        <v>201</v>
      </c>
      <c r="B208">
        <v>0.85844410000000004</v>
      </c>
      <c r="C208" s="3">
        <v>-5.4637020422787397E-2</v>
      </c>
      <c r="D208" s="12">
        <f t="shared" si="20"/>
        <v>0.92459557556078753</v>
      </c>
      <c r="E208" s="12">
        <f t="shared" si="21"/>
        <v>-2.5202994255939287E-3</v>
      </c>
      <c r="F208" s="13">
        <f t="shared" si="15"/>
        <v>-7.4741415567436464E-2</v>
      </c>
      <c r="G208" s="12">
        <f t="shared" si="16"/>
        <v>0.84043450432683497</v>
      </c>
      <c r="H208" s="12">
        <f t="shared" si="17"/>
        <v>1.8009595673165069E-2</v>
      </c>
      <c r="I208" s="12">
        <f t="shared" si="18"/>
        <v>3.2434553631088597E-4</v>
      </c>
      <c r="J208" s="15">
        <f t="shared" si="19"/>
        <v>2.0979345857423994</v>
      </c>
    </row>
    <row r="209" spans="1:10" x14ac:dyDescent="0.25">
      <c r="A209" s="4">
        <v>202</v>
      </c>
      <c r="B209">
        <v>0.88748119999999997</v>
      </c>
      <c r="C209" s="3">
        <v>1.4880043740073901E-2</v>
      </c>
      <c r="D209" s="12">
        <f t="shared" si="20"/>
        <v>0.92915369193064334</v>
      </c>
      <c r="E209" s="12">
        <f t="shared" si="21"/>
        <v>-2.1933976644523331E-3</v>
      </c>
      <c r="F209" s="13">
        <f t="shared" si="15"/>
        <v>-5.0981798223930362E-2</v>
      </c>
      <c r="G209" s="12">
        <f t="shared" si="16"/>
        <v>0.86796338704554665</v>
      </c>
      <c r="H209" s="12">
        <f t="shared" si="17"/>
        <v>1.9517812954453317E-2</v>
      </c>
      <c r="I209" s="12">
        <f t="shared" si="18"/>
        <v>3.8094502252502573E-4</v>
      </c>
      <c r="J209" s="15">
        <f t="shared" si="19"/>
        <v>2.1992367787005875</v>
      </c>
    </row>
    <row r="210" spans="1:10" ht="14.25" customHeight="1" x14ac:dyDescent="0.25">
      <c r="A210" s="3">
        <v>203</v>
      </c>
      <c r="B210">
        <v>1.4362372999999999</v>
      </c>
      <c r="C210" s="3">
        <v>1.7907206060415199</v>
      </c>
      <c r="D210" s="12">
        <f t="shared" si="20"/>
        <v>0.95679856685738285</v>
      </c>
      <c r="E210" s="12">
        <f t="shared" si="21"/>
        <v>-8.1537973765097999E-4</v>
      </c>
      <c r="F210" s="13">
        <f t="shared" si="15"/>
        <v>0.44019639038669117</v>
      </c>
      <c r="G210" s="12">
        <f t="shared" si="16"/>
        <v>1.3539621355919906</v>
      </c>
      <c r="H210" s="12">
        <f t="shared" si="17"/>
        <v>8.2275164408009305E-2</v>
      </c>
      <c r="I210" s="12">
        <f t="shared" si="18"/>
        <v>6.7692026783649608E-3</v>
      </c>
      <c r="J210" s="15">
        <f t="shared" si="19"/>
        <v>5.7285216313494507</v>
      </c>
    </row>
    <row r="211" spans="1:10" x14ac:dyDescent="0.25">
      <c r="A211" s="4">
        <v>204</v>
      </c>
      <c r="B211">
        <v>0.41099999999999998</v>
      </c>
      <c r="C211" s="3">
        <v>-9.5789555933411999E-2</v>
      </c>
      <c r="D211" s="12">
        <f t="shared" si="20"/>
        <v>0.94044150329304554</v>
      </c>
      <c r="E211" s="12">
        <f t="shared" si="21"/>
        <v>-1.5331397507482047E-3</v>
      </c>
      <c r="F211" s="13">
        <f t="shared" si="15"/>
        <v>-0.50900157729307027</v>
      </c>
      <c r="G211" s="12">
        <f t="shared" si="16"/>
        <v>0.45385417622987256</v>
      </c>
      <c r="H211" s="12">
        <f t="shared" si="17"/>
        <v>4.2854176229872587E-2</v>
      </c>
      <c r="I211" s="12">
        <f t="shared" si="18"/>
        <v>1.8364804203409766E-3</v>
      </c>
      <c r="J211" s="15">
        <f t="shared" si="19"/>
        <v>10.426806868582139</v>
      </c>
    </row>
    <row r="212" spans="1:10" x14ac:dyDescent="0.25">
      <c r="A212" s="3">
        <v>205</v>
      </c>
      <c r="B212">
        <v>0.84084890000000001</v>
      </c>
      <c r="C212" s="3">
        <v>0.21703877625210299</v>
      </c>
      <c r="D212" s="12">
        <f t="shared" si="20"/>
        <v>0.94949135619819003</v>
      </c>
      <c r="E212" s="12">
        <f t="shared" si="21"/>
        <v>-1.0443864707298364E-3</v>
      </c>
      <c r="F212" s="13">
        <f t="shared" si="15"/>
        <v>-0.12256087000437607</v>
      </c>
      <c r="G212" s="12">
        <f t="shared" si="16"/>
        <v>0.81166767115938143</v>
      </c>
      <c r="H212" s="12">
        <f t="shared" si="17"/>
        <v>2.9181228840618578E-2</v>
      </c>
      <c r="I212" s="12">
        <f t="shared" si="18"/>
        <v>8.5154411664854952E-4</v>
      </c>
      <c r="J212" s="15">
        <f t="shared" si="19"/>
        <v>3.4704485955346529</v>
      </c>
    </row>
    <row r="213" spans="1:10" x14ac:dyDescent="0.25">
      <c r="A213" s="4">
        <v>206</v>
      </c>
      <c r="B213">
        <v>0.9674258</v>
      </c>
      <c r="C213" s="3">
        <v>-0.434960406115453</v>
      </c>
      <c r="D213" s="12">
        <f t="shared" si="20"/>
        <v>0.98146601468870731</v>
      </c>
      <c r="E213" s="12">
        <f t="shared" si="21"/>
        <v>4.8052874490131644E-4</v>
      </c>
      <c r="F213" s="13">
        <f t="shared" ref="F213:F276" si="22">$G$3*(B213-D213)+(1-$G$3)*F201</f>
        <v>-5.7465807637579136E-2</v>
      </c>
      <c r="G213" s="12">
        <f t="shared" ref="G213:G276" si="23">D212+E212+F201</f>
        <v>0.87638006856633821</v>
      </c>
      <c r="H213" s="12">
        <f t="shared" ref="H213:H276" si="24">ABS(B213-G213)</f>
        <v>9.1045731433661792E-2</v>
      </c>
      <c r="I213" s="12">
        <f t="shared" ref="I213:I276" si="25">(B213-G213)^2</f>
        <v>8.2893252122904701E-3</v>
      </c>
      <c r="J213" s="15">
        <f t="shared" ref="J213:J276" si="26">ABS((B213 - G213) / B213) * 100</f>
        <v>9.4111332810910966</v>
      </c>
    </row>
    <row r="214" spans="1:10" x14ac:dyDescent="0.25">
      <c r="A214" s="3">
        <v>207</v>
      </c>
      <c r="B214">
        <v>0.68267420000000001</v>
      </c>
      <c r="C214" s="3">
        <v>0.31972846307112601</v>
      </c>
      <c r="D214" s="12">
        <f t="shared" si="20"/>
        <v>0.90408763109019219</v>
      </c>
      <c r="E214" s="12">
        <f t="shared" si="21"/>
        <v>-3.1152215332885462E-3</v>
      </c>
      <c r="F214" s="13">
        <f t="shared" si="22"/>
        <v>-0.1190158772289192</v>
      </c>
      <c r="G214" s="12">
        <f t="shared" si="23"/>
        <v>0.89736004664563762</v>
      </c>
      <c r="H214" s="12">
        <f t="shared" si="24"/>
        <v>0.21468584664563761</v>
      </c>
      <c r="I214" s="12">
        <f t="shared" si="25"/>
        <v>4.609001274995423E-2</v>
      </c>
      <c r="J214" s="15">
        <f t="shared" si="26"/>
        <v>31.447775036120834</v>
      </c>
    </row>
    <row r="215" spans="1:10" x14ac:dyDescent="0.25">
      <c r="A215" s="4">
        <v>208</v>
      </c>
      <c r="B215">
        <v>1.0057117</v>
      </c>
      <c r="C215" s="3">
        <v>0.245379136096882</v>
      </c>
      <c r="D215" s="12">
        <f t="shared" si="20"/>
        <v>0.97197792081680023</v>
      </c>
      <c r="E215" s="12">
        <f t="shared" si="21"/>
        <v>1.6401881545459462E-4</v>
      </c>
      <c r="F215" s="13">
        <f t="shared" si="22"/>
        <v>-5.965040054452142E-2</v>
      </c>
      <c r="G215" s="12">
        <f t="shared" si="23"/>
        <v>0.80992321744195617</v>
      </c>
      <c r="H215" s="12">
        <f t="shared" si="24"/>
        <v>0.19578848255804382</v>
      </c>
      <c r="I215" s="12">
        <f t="shared" si="25"/>
        <v>3.8333129902381427E-2</v>
      </c>
      <c r="J215" s="15">
        <f t="shared" si="26"/>
        <v>19.467654851588563</v>
      </c>
    </row>
    <row r="216" spans="1:10" x14ac:dyDescent="0.25">
      <c r="A216" s="3">
        <v>209</v>
      </c>
      <c r="B216">
        <v>0.97813919999999999</v>
      </c>
      <c r="C216" s="3">
        <v>0.98610145076896805</v>
      </c>
      <c r="D216" s="12">
        <f t="shared" ref="D216:D279" si="27">$E$3 * (B216 - F204) + (1 - $E$3) * (D215 + E215)</f>
        <v>1.0095722817790773</v>
      </c>
      <c r="E216" s="12">
        <f t="shared" ref="E216:E279" si="28">$F$3 * (D216 - D215) + (1 - $F$3) * E215</f>
        <v>1.8926605230799817E-3</v>
      </c>
      <c r="F216" s="13">
        <f t="shared" si="22"/>
        <v>-8.066027184204308E-2</v>
      </c>
      <c r="G216" s="12">
        <f t="shared" si="23"/>
        <v>0.87492988905326174</v>
      </c>
      <c r="H216" s="12">
        <f t="shared" si="24"/>
        <v>0.10320931094673824</v>
      </c>
      <c r="I216" s="12">
        <f t="shared" si="25"/>
        <v>1.0652161866100502E-2</v>
      </c>
      <c r="J216" s="15">
        <f t="shared" si="26"/>
        <v>10.551597456347547</v>
      </c>
    </row>
    <row r="217" spans="1:10" x14ac:dyDescent="0.25">
      <c r="A217" s="4">
        <v>210</v>
      </c>
      <c r="B217">
        <v>1.2238416999999999</v>
      </c>
      <c r="C217" s="3">
        <v>7.94356333039236E-3</v>
      </c>
      <c r="D217" s="12">
        <f t="shared" si="27"/>
        <v>1.0364003065189347</v>
      </c>
      <c r="E217" s="12">
        <f t="shared" si="28"/>
        <v>3.0442479280487116E-3</v>
      </c>
      <c r="F217" s="13">
        <f t="shared" si="22"/>
        <v>0.15464719916743461</v>
      </c>
      <c r="G217" s="12">
        <f t="shared" si="23"/>
        <v>1.1550856691594424</v>
      </c>
      <c r="H217" s="12">
        <f t="shared" si="24"/>
        <v>6.875603084055748E-2</v>
      </c>
      <c r="I217" s="12">
        <f t="shared" si="25"/>
        <v>4.7273917769476911E-3</v>
      </c>
      <c r="J217" s="15">
        <f t="shared" si="26"/>
        <v>5.6180493637827089</v>
      </c>
    </row>
    <row r="218" spans="1:10" x14ac:dyDescent="0.25">
      <c r="A218" s="3">
        <v>211</v>
      </c>
      <c r="B218">
        <v>0.8846214</v>
      </c>
      <c r="C218" s="3">
        <v>-0.20617363686870899</v>
      </c>
      <c r="D218" s="12">
        <f t="shared" si="27"/>
        <v>1.0533653440860957</v>
      </c>
      <c r="E218" s="12">
        <f t="shared" si="28"/>
        <v>3.6871503487334177E-3</v>
      </c>
      <c r="F218" s="13">
        <f t="shared" si="22"/>
        <v>-0.18705212183940303</v>
      </c>
      <c r="G218" s="12">
        <f t="shared" si="23"/>
        <v>0.84623662914079945</v>
      </c>
      <c r="H218" s="12">
        <f t="shared" si="24"/>
        <v>3.8384770859200557E-2</v>
      </c>
      <c r="I218" s="12">
        <f t="shared" si="25"/>
        <v>1.4733906339133322E-3</v>
      </c>
      <c r="J218" s="15">
        <f t="shared" si="26"/>
        <v>4.3391185041646692</v>
      </c>
    </row>
    <row r="219" spans="1:10" x14ac:dyDescent="0.25">
      <c r="A219" s="4">
        <v>212</v>
      </c>
      <c r="B219">
        <v>0.79206449999999995</v>
      </c>
      <c r="C219" s="3">
        <v>-4.3030612001045597E-2</v>
      </c>
      <c r="D219" s="12">
        <f t="shared" si="27"/>
        <v>0.99985210347753695</v>
      </c>
      <c r="E219" s="12">
        <f t="shared" si="28"/>
        <v>1.0454704753997649E-3</v>
      </c>
      <c r="F219" s="13">
        <f t="shared" si="22"/>
        <v>-0.13255947688747291</v>
      </c>
      <c r="G219" s="12">
        <f t="shared" si="23"/>
        <v>0.94978715488327448</v>
      </c>
      <c r="H219" s="12">
        <f t="shared" si="24"/>
        <v>0.15772265488327453</v>
      </c>
      <c r="I219" s="12">
        <f t="shared" si="25"/>
        <v>2.4876435863428522E-2</v>
      </c>
      <c r="J219" s="15">
        <f t="shared" si="26"/>
        <v>19.912854935838499</v>
      </c>
    </row>
    <row r="220" spans="1:10" x14ac:dyDescent="0.25">
      <c r="A220" s="3">
        <v>213</v>
      </c>
      <c r="B220">
        <v>0.86335110000000004</v>
      </c>
      <c r="C220" s="3">
        <v>-1.36894847584193E-2</v>
      </c>
      <c r="D220" s="12">
        <f t="shared" si="27"/>
        <v>0.97812041555166029</v>
      </c>
      <c r="E220" s="12">
        <f t="shared" si="28"/>
        <v>-6.4447285594076628E-6</v>
      </c>
      <c r="F220" s="13">
        <f t="shared" si="22"/>
        <v>-8.4813524570222842E-2</v>
      </c>
      <c r="G220" s="12">
        <f t="shared" si="23"/>
        <v>0.92615615838550025</v>
      </c>
      <c r="H220" s="12">
        <f t="shared" si="24"/>
        <v>6.2805058385500212E-2</v>
      </c>
      <c r="I220" s="12">
        <f t="shared" si="25"/>
        <v>3.9444753588060901E-3</v>
      </c>
      <c r="J220" s="15">
        <f t="shared" si="26"/>
        <v>7.2745674830900438</v>
      </c>
    </row>
    <row r="221" spans="1:10" ht="15.75" customHeight="1" x14ac:dyDescent="0.25">
      <c r="A221" s="4">
        <v>214</v>
      </c>
      <c r="B221">
        <v>0.87564969999999998</v>
      </c>
      <c r="C221" s="3">
        <v>1.88721568348969</v>
      </c>
      <c r="D221" s="12">
        <f t="shared" si="27"/>
        <v>0.95944311112764358</v>
      </c>
      <c r="E221" s="12">
        <f t="shared" si="28"/>
        <v>-8.6871915448338279E-4</v>
      </c>
      <c r="F221" s="13">
        <f t="shared" si="22"/>
        <v>-5.9238093004662928E-2</v>
      </c>
      <c r="G221" s="12">
        <f t="shared" si="23"/>
        <v>0.92713217259917058</v>
      </c>
      <c r="H221" s="12">
        <f t="shared" si="24"/>
        <v>5.1482472599170603E-2</v>
      </c>
      <c r="I221" s="12">
        <f t="shared" si="25"/>
        <v>2.6504449849243518E-3</v>
      </c>
      <c r="J221" s="15">
        <f t="shared" si="26"/>
        <v>5.8793456560506563</v>
      </c>
    </row>
    <row r="222" spans="1:10" x14ac:dyDescent="0.25">
      <c r="A222" s="3">
        <v>215</v>
      </c>
      <c r="B222">
        <v>1.4589265</v>
      </c>
      <c r="C222" s="3">
        <v>-0.81166425826388899</v>
      </c>
      <c r="D222" s="12">
        <f t="shared" si="27"/>
        <v>0.980390728820137</v>
      </c>
      <c r="E222" s="12">
        <f t="shared" si="28"/>
        <v>1.3882252476066096E-4</v>
      </c>
      <c r="F222" s="13">
        <f t="shared" si="22"/>
        <v>0.44984362200764449</v>
      </c>
      <c r="G222" s="12">
        <f t="shared" si="23"/>
        <v>1.3987707823598514</v>
      </c>
      <c r="H222" s="12">
        <f t="shared" si="24"/>
        <v>6.0155717640148598E-2</v>
      </c>
      <c r="I222" s="12">
        <f t="shared" si="25"/>
        <v>3.6187103648012853E-3</v>
      </c>
      <c r="J222" s="15">
        <f t="shared" si="26"/>
        <v>4.123286378042252</v>
      </c>
    </row>
    <row r="223" spans="1:10" x14ac:dyDescent="0.25">
      <c r="A223" s="4">
        <v>216</v>
      </c>
      <c r="B223">
        <v>0.4715396</v>
      </c>
      <c r="C223" s="3">
        <v>-0.20078894498172301</v>
      </c>
      <c r="D223" s="12">
        <f t="shared" si="27"/>
        <v>0.98053376766233924</v>
      </c>
      <c r="E223" s="12">
        <f t="shared" si="28"/>
        <v>1.3901724652284808E-4</v>
      </c>
      <c r="F223" s="13">
        <f t="shared" si="22"/>
        <v>-0.5089997128283239</v>
      </c>
      <c r="G223" s="12">
        <f t="shared" si="23"/>
        <v>0.47152797405182734</v>
      </c>
      <c r="H223" s="12">
        <f t="shared" si="24"/>
        <v>1.16259481726666E-5</v>
      </c>
      <c r="I223" s="12">
        <f t="shared" si="25"/>
        <v>1.3516267091352987E-10</v>
      </c>
      <c r="J223" s="15">
        <f t="shared" si="26"/>
        <v>2.465529548879161E-3</v>
      </c>
    </row>
    <row r="224" spans="1:10" x14ac:dyDescent="0.25">
      <c r="A224" s="3">
        <v>217</v>
      </c>
      <c r="B224">
        <v>0.79450030000000005</v>
      </c>
      <c r="C224" s="3">
        <v>0.119334517755028</v>
      </c>
      <c r="D224" s="12">
        <f t="shared" si="27"/>
        <v>0.95760311717689217</v>
      </c>
      <c r="E224" s="12">
        <f t="shared" si="28"/>
        <v>-9.2640688628669297E-4</v>
      </c>
      <c r="F224" s="13">
        <f t="shared" si="22"/>
        <v>-0.13276232726962678</v>
      </c>
      <c r="G224" s="12">
        <f t="shared" si="23"/>
        <v>0.85811191490448602</v>
      </c>
      <c r="H224" s="12">
        <f t="shared" si="24"/>
        <v>6.3611614904485969E-2</v>
      </c>
      <c r="I224" s="12">
        <f t="shared" si="25"/>
        <v>4.0464375507566217E-3</v>
      </c>
      <c r="J224" s="15">
        <f t="shared" si="26"/>
        <v>8.0064935034619822</v>
      </c>
    </row>
    <row r="225" spans="1:10" x14ac:dyDescent="0.25">
      <c r="A225" s="4">
        <v>218</v>
      </c>
      <c r="B225">
        <v>0.92958529999999995</v>
      </c>
      <c r="C225" s="3">
        <v>8.9251880240048098E-2</v>
      </c>
      <c r="D225" s="12">
        <f t="shared" si="27"/>
        <v>0.96769242267906896</v>
      </c>
      <c r="E225" s="12">
        <f t="shared" si="28"/>
        <v>-4.17669354601582E-4</v>
      </c>
      <c r="F225" s="13">
        <f t="shared" si="22"/>
        <v>-5.2594635651800122E-2</v>
      </c>
      <c r="G225" s="12">
        <f t="shared" si="23"/>
        <v>0.89921090265302639</v>
      </c>
      <c r="H225" s="12">
        <f t="shared" si="24"/>
        <v>3.0374397346973558E-2</v>
      </c>
      <c r="I225" s="12">
        <f t="shared" si="25"/>
        <v>9.2260401419183439E-4</v>
      </c>
      <c r="J225" s="15">
        <f t="shared" si="26"/>
        <v>3.2675212642641358</v>
      </c>
    </row>
    <row r="226" spans="1:10" x14ac:dyDescent="0.25">
      <c r="A226" s="3">
        <v>219</v>
      </c>
      <c r="B226">
        <v>0.91764009999999996</v>
      </c>
      <c r="C226" s="3">
        <v>3.5740062446375301E-3</v>
      </c>
      <c r="D226" s="12">
        <f t="shared" si="27"/>
        <v>0.99243685280451444</v>
      </c>
      <c r="E226" s="12">
        <f t="shared" si="28"/>
        <v>7.4438934211062144E-4</v>
      </c>
      <c r="F226" s="13">
        <f t="shared" si="22"/>
        <v>-0.10788914209202928</v>
      </c>
      <c r="G226" s="12">
        <f t="shared" si="23"/>
        <v>0.84825887609554818</v>
      </c>
      <c r="H226" s="12">
        <f t="shared" si="24"/>
        <v>6.9381223904451783E-2</v>
      </c>
      <c r="I226" s="12">
        <f t="shared" si="25"/>
        <v>4.8137542304796718E-3</v>
      </c>
      <c r="J226" s="15">
        <f t="shared" si="26"/>
        <v>7.560831736151437</v>
      </c>
    </row>
    <row r="227" spans="1:10" x14ac:dyDescent="0.25">
      <c r="A227" s="4">
        <v>220</v>
      </c>
      <c r="B227">
        <v>0.88281569999999998</v>
      </c>
      <c r="C227" s="3">
        <v>-5.72665825453905E-2</v>
      </c>
      <c r="D227" s="12">
        <f t="shared" si="27"/>
        <v>0.9747886660817493</v>
      </c>
      <c r="E227" s="12">
        <f t="shared" si="28"/>
        <v>-1.0503313903321423E-4</v>
      </c>
      <c r="F227" s="13">
        <f t="shared" si="22"/>
        <v>-6.7783637698331081E-2</v>
      </c>
      <c r="G227" s="12">
        <f t="shared" si="23"/>
        <v>0.93353084160210364</v>
      </c>
      <c r="H227" s="12">
        <f t="shared" si="24"/>
        <v>5.0715141602103664E-2</v>
      </c>
      <c r="I227" s="12">
        <f t="shared" si="25"/>
        <v>2.5720255877214257E-3</v>
      </c>
      <c r="J227" s="15">
        <f t="shared" si="26"/>
        <v>5.7447031812079992</v>
      </c>
    </row>
    <row r="228" spans="1:10" x14ac:dyDescent="0.25">
      <c r="A228" s="3">
        <v>221</v>
      </c>
      <c r="B228">
        <v>0.85732900000000001</v>
      </c>
      <c r="C228" s="3">
        <v>0.58075105024668305</v>
      </c>
      <c r="D228" s="12">
        <f t="shared" si="27"/>
        <v>0.9613758947332629</v>
      </c>
      <c r="E228" s="12">
        <f t="shared" si="28"/>
        <v>-7.196230675138339E-4</v>
      </c>
      <c r="F228" s="13">
        <f t="shared" si="22"/>
        <v>-8.6544982632773132E-2</v>
      </c>
      <c r="G228" s="12">
        <f t="shared" si="23"/>
        <v>0.89402336110067304</v>
      </c>
      <c r="H228" s="12">
        <f t="shared" si="24"/>
        <v>3.6694361100673034E-2</v>
      </c>
      <c r="I228" s="12">
        <f t="shared" si="25"/>
        <v>1.3464761365865863E-3</v>
      </c>
      <c r="J228" s="15">
        <f t="shared" si="26"/>
        <v>4.2800793045228884</v>
      </c>
    </row>
    <row r="229" spans="1:10" x14ac:dyDescent="0.25">
      <c r="A229" s="4">
        <v>222</v>
      </c>
      <c r="B229">
        <v>1.0969024000000001</v>
      </c>
      <c r="C229" s="3">
        <v>-9.8219947392601495E-2</v>
      </c>
      <c r="D229" s="12">
        <f t="shared" si="27"/>
        <v>0.95398285847428399</v>
      </c>
      <c r="E229" s="12">
        <f t="shared" si="28"/>
        <v>-1.0278206343363237E-3</v>
      </c>
      <c r="F229" s="13">
        <f t="shared" si="22"/>
        <v>0.15169620133439052</v>
      </c>
      <c r="G229" s="12">
        <f t="shared" si="23"/>
        <v>1.1153034708331837</v>
      </c>
      <c r="H229" s="12">
        <f t="shared" si="24"/>
        <v>1.8401070833183653E-2</v>
      </c>
      <c r="I229" s="12">
        <f t="shared" si="25"/>
        <v>3.385994078078421E-4</v>
      </c>
      <c r="J229" s="15">
        <f t="shared" si="26"/>
        <v>1.6775485980506242</v>
      </c>
    </row>
    <row r="230" spans="1:10" x14ac:dyDescent="0.25">
      <c r="A230" s="3">
        <v>223</v>
      </c>
      <c r="B230">
        <v>0.83979999999999999</v>
      </c>
      <c r="C230" s="3">
        <v>-0.48917147531558403</v>
      </c>
      <c r="D230" s="12">
        <f t="shared" si="27"/>
        <v>0.97975487898198865</v>
      </c>
      <c r="E230" s="12">
        <f t="shared" si="28"/>
        <v>2.0987371999646497E-4</v>
      </c>
      <c r="F230" s="13">
        <f t="shared" si="22"/>
        <v>-0.17520117377623851</v>
      </c>
      <c r="G230" s="12">
        <f t="shared" si="23"/>
        <v>0.76590291600054461</v>
      </c>
      <c r="H230" s="12">
        <f t="shared" si="24"/>
        <v>7.3897083999455382E-2</v>
      </c>
      <c r="I230" s="12">
        <f t="shared" si="25"/>
        <v>5.4607790236225646E-3</v>
      </c>
      <c r="J230" s="15">
        <f t="shared" si="26"/>
        <v>8.7993669920761359</v>
      </c>
    </row>
    <row r="231" spans="1:10" x14ac:dyDescent="0.25">
      <c r="A231" s="4">
        <v>224</v>
      </c>
      <c r="B231">
        <v>0.65490119999999996</v>
      </c>
      <c r="C231" s="3">
        <v>0.93868105684054903</v>
      </c>
      <c r="D231" s="12">
        <f t="shared" si="27"/>
        <v>0.91015037882138139</v>
      </c>
      <c r="E231" s="12">
        <f t="shared" si="28"/>
        <v>-3.0143564515679451E-3</v>
      </c>
      <c r="F231" s="13">
        <f t="shared" si="22"/>
        <v>-0.16343154491714079</v>
      </c>
      <c r="G231" s="12">
        <f t="shared" si="23"/>
        <v>0.84740527581451219</v>
      </c>
      <c r="H231" s="12">
        <f t="shared" si="24"/>
        <v>0.19250407581451223</v>
      </c>
      <c r="I231" s="12">
        <f t="shared" si="25"/>
        <v>3.7057819205199474E-2</v>
      </c>
      <c r="J231" s="15">
        <f t="shared" si="26"/>
        <v>29.394369076512955</v>
      </c>
    </row>
    <row r="232" spans="1:10" x14ac:dyDescent="0.25">
      <c r="A232" s="3">
        <v>225</v>
      </c>
      <c r="B232">
        <v>1.2097971999999999</v>
      </c>
      <c r="C232" s="3">
        <v>-2.6509298439830499E-2</v>
      </c>
      <c r="D232" s="12">
        <f t="shared" si="27"/>
        <v>1.0476593001977608</v>
      </c>
      <c r="E232" s="12">
        <f t="shared" si="28"/>
        <v>3.475415883207275E-3</v>
      </c>
      <c r="F232" s="13">
        <f t="shared" si="22"/>
        <v>-2.2673825369087526E-2</v>
      </c>
      <c r="G232" s="12">
        <f t="shared" si="23"/>
        <v>0.82232249779959066</v>
      </c>
      <c r="H232" s="12">
        <f t="shared" si="24"/>
        <v>0.38747470220040925</v>
      </c>
      <c r="I232" s="12">
        <f t="shared" si="25"/>
        <v>0.15013664484529582</v>
      </c>
      <c r="J232" s="15">
        <f t="shared" si="26"/>
        <v>32.028070671713351</v>
      </c>
    </row>
    <row r="233" spans="1:10" x14ac:dyDescent="0.25">
      <c r="A233" s="4">
        <v>226</v>
      </c>
      <c r="B233">
        <v>0.87029469999999998</v>
      </c>
      <c r="C233" s="3">
        <v>1.99933285722695</v>
      </c>
      <c r="D233" s="12">
        <f t="shared" si="27"/>
        <v>1.0070340284132964</v>
      </c>
      <c r="E233" s="12">
        <f t="shared" si="28"/>
        <v>1.4387182826813491E-3</v>
      </c>
      <c r="F233" s="13">
        <f t="shared" si="22"/>
        <v>-7.8739513044036036E-2</v>
      </c>
      <c r="G233" s="12">
        <f t="shared" si="23"/>
        <v>0.99189662307630511</v>
      </c>
      <c r="H233" s="12">
        <f t="shared" si="24"/>
        <v>0.12160192307630513</v>
      </c>
      <c r="I233" s="12">
        <f t="shared" si="25"/>
        <v>1.478702769585563E-2</v>
      </c>
      <c r="J233" s="15">
        <f t="shared" si="26"/>
        <v>13.972499554036711</v>
      </c>
    </row>
    <row r="234" spans="1:10" x14ac:dyDescent="0.25">
      <c r="A234" s="3">
        <v>227</v>
      </c>
      <c r="B234">
        <v>1.4846581999999999</v>
      </c>
      <c r="C234" s="3">
        <v>-0.76836512777164401</v>
      </c>
      <c r="D234" s="12">
        <f t="shared" si="27"/>
        <v>1.018025990963892</v>
      </c>
      <c r="E234" s="12">
        <f t="shared" si="28"/>
        <v>1.8799147969924459E-3</v>
      </c>
      <c r="F234" s="13">
        <f t="shared" si="22"/>
        <v>0.45406808740852977</v>
      </c>
      <c r="G234" s="12">
        <f t="shared" si="23"/>
        <v>1.4583163687036222</v>
      </c>
      <c r="H234" s="12">
        <f t="shared" si="24"/>
        <v>2.6341831296377682E-2</v>
      </c>
      <c r="I234" s="12">
        <f t="shared" si="25"/>
        <v>6.9389207604682269E-4</v>
      </c>
      <c r="J234" s="15">
        <f t="shared" si="26"/>
        <v>1.774269073944271</v>
      </c>
    </row>
    <row r="235" spans="1:10" x14ac:dyDescent="0.25">
      <c r="A235" s="4">
        <v>228</v>
      </c>
      <c r="B235">
        <v>0.49820140000000002</v>
      </c>
      <c r="C235" s="3">
        <v>6.5607666207791293E-2</v>
      </c>
      <c r="D235" s="12">
        <f t="shared" si="27"/>
        <v>1.0152983297388365</v>
      </c>
      <c r="E235" s="12">
        <f t="shared" si="28"/>
        <v>1.6671235793347433E-3</v>
      </c>
      <c r="F235" s="13">
        <f t="shared" si="22"/>
        <v>-0.51103719297027572</v>
      </c>
      <c r="G235" s="12">
        <f t="shared" si="23"/>
        <v>0.51090619293256045</v>
      </c>
      <c r="H235" s="12">
        <f t="shared" si="24"/>
        <v>1.2704792932560438E-2</v>
      </c>
      <c r="I235" s="12">
        <f t="shared" si="25"/>
        <v>1.6141176345923765E-4</v>
      </c>
      <c r="J235" s="15">
        <f t="shared" si="26"/>
        <v>2.5501319210585192</v>
      </c>
    </row>
    <row r="236" spans="1:10" x14ac:dyDescent="0.25">
      <c r="A236" s="3">
        <v>229</v>
      </c>
      <c r="B236">
        <v>0.90815020000000002</v>
      </c>
      <c r="C236" s="3">
        <v>-2.2034191565356201E-2</v>
      </c>
      <c r="D236" s="12">
        <f t="shared" si="27"/>
        <v>1.0256502043662701</v>
      </c>
      <c r="E236" s="12">
        <f t="shared" si="28"/>
        <v>2.0682105590689483E-3</v>
      </c>
      <c r="F236" s="13">
        <f t="shared" si="22"/>
        <v>-0.12892191146018089</v>
      </c>
      <c r="G236" s="12">
        <f t="shared" si="23"/>
        <v>0.88420312604854456</v>
      </c>
      <c r="H236" s="12">
        <f t="shared" si="24"/>
        <v>2.3947073951455455E-2</v>
      </c>
      <c r="I236" s="12">
        <f t="shared" si="25"/>
        <v>5.7346235083647636E-4</v>
      </c>
      <c r="J236" s="15">
        <f t="shared" si="26"/>
        <v>2.6369067530300003</v>
      </c>
    </row>
    <row r="237" spans="1:10" x14ac:dyDescent="0.25">
      <c r="A237" s="4">
        <v>230</v>
      </c>
      <c r="B237">
        <v>0.87216729999999998</v>
      </c>
      <c r="C237" s="3">
        <v>1.1334623594837401</v>
      </c>
      <c r="D237" s="12">
        <f t="shared" si="27"/>
        <v>0.99037976582390741</v>
      </c>
      <c r="E237" s="12">
        <f t="shared" si="28"/>
        <v>3.4380350208982344E-4</v>
      </c>
      <c r="F237" s="13">
        <f t="shared" si="22"/>
        <v>-6.9105867524575731E-2</v>
      </c>
      <c r="G237" s="12">
        <f t="shared" si="23"/>
        <v>0.97512377927353899</v>
      </c>
      <c r="H237" s="12">
        <f t="shared" si="24"/>
        <v>0.10295647927353901</v>
      </c>
      <c r="I237" s="12">
        <f t="shared" si="25"/>
        <v>1.0600036624402669E-2</v>
      </c>
      <c r="J237" s="15">
        <f t="shared" si="26"/>
        <v>11.804670878343986</v>
      </c>
    </row>
    <row r="238" spans="1:10" x14ac:dyDescent="0.25">
      <c r="A238" s="3">
        <v>231</v>
      </c>
      <c r="B238">
        <v>1.2662674</v>
      </c>
      <c r="C238" s="3">
        <v>0.59676776767893303</v>
      </c>
      <c r="D238" s="12">
        <f t="shared" si="27"/>
        <v>1.1297810558003749</v>
      </c>
      <c r="E238" s="12">
        <f t="shared" si="28"/>
        <v>6.7658813429563834E-3</v>
      </c>
      <c r="F238" s="13">
        <f t="shared" si="22"/>
        <v>-4.6397619016659945E-2</v>
      </c>
      <c r="G238" s="12">
        <f t="shared" si="23"/>
        <v>0.88283442723396799</v>
      </c>
      <c r="H238" s="12">
        <f t="shared" si="24"/>
        <v>0.38343297276603205</v>
      </c>
      <c r="I238" s="12">
        <f t="shared" si="25"/>
        <v>0.14702084460419668</v>
      </c>
      <c r="J238" s="15">
        <f t="shared" si="26"/>
        <v>30.280568919805724</v>
      </c>
    </row>
    <row r="239" spans="1:10" x14ac:dyDescent="0.25">
      <c r="A239" s="4">
        <v>232</v>
      </c>
      <c r="B239">
        <v>1.1022362000000001</v>
      </c>
      <c r="C239" s="3">
        <v>7.2344826427980201E-3</v>
      </c>
      <c r="D239" s="12">
        <f t="shared" si="27"/>
        <v>1.1486863663181544</v>
      </c>
      <c r="E239" s="12">
        <f t="shared" si="28"/>
        <v>7.3265153733921701E-3</v>
      </c>
      <c r="F239" s="13">
        <f t="shared" si="22"/>
        <v>-6.2415555704680332E-2</v>
      </c>
      <c r="G239" s="12">
        <f t="shared" si="23"/>
        <v>1.068763299445</v>
      </c>
      <c r="H239" s="12">
        <f t="shared" si="24"/>
        <v>3.3472900555000074E-2</v>
      </c>
      <c r="I239" s="12">
        <f t="shared" si="25"/>
        <v>1.1204350715649243E-3</v>
      </c>
      <c r="J239" s="15">
        <f t="shared" si="26"/>
        <v>3.0368173858742864</v>
      </c>
    </row>
    <row r="240" spans="1:10" x14ac:dyDescent="0.25">
      <c r="A240" s="3">
        <v>233</v>
      </c>
      <c r="B240">
        <v>0.88432860000000002</v>
      </c>
      <c r="C240" s="3">
        <v>-0.17435062270221699</v>
      </c>
      <c r="D240" s="12">
        <f t="shared" si="27"/>
        <v>1.0888694501055245</v>
      </c>
      <c r="E240" s="12">
        <f t="shared" si="28"/>
        <v>4.2256370598194341E-3</v>
      </c>
      <c r="F240" s="13">
        <f t="shared" si="22"/>
        <v>-0.11623595416843448</v>
      </c>
      <c r="G240" s="12">
        <f t="shared" si="23"/>
        <v>1.0694678990587734</v>
      </c>
      <c r="H240" s="12">
        <f t="shared" si="24"/>
        <v>0.18513929905877335</v>
      </c>
      <c r="I240" s="12">
        <f t="shared" si="25"/>
        <v>3.4276560055973918E-2</v>
      </c>
      <c r="J240" s="15">
        <f t="shared" si="26"/>
        <v>20.935577460547282</v>
      </c>
    </row>
    <row r="241" spans="1:10" x14ac:dyDescent="0.25">
      <c r="A241" s="4">
        <v>234</v>
      </c>
      <c r="B241">
        <v>0.80637460000000005</v>
      </c>
      <c r="C241" s="3">
        <v>-5.0569101683746703E-2</v>
      </c>
      <c r="D241" s="12">
        <f t="shared" si="27"/>
        <v>0.93409696477800919</v>
      </c>
      <c r="E241" s="12">
        <f t="shared" si="28"/>
        <v>-3.1173571536653342E-3</v>
      </c>
      <c r="F241" s="13">
        <f t="shared" si="22"/>
        <v>8.1386885672175474E-2</v>
      </c>
      <c r="G241" s="12">
        <f t="shared" si="23"/>
        <v>1.2447912884997345</v>
      </c>
      <c r="H241" s="12">
        <f t="shared" si="24"/>
        <v>0.43841668849973447</v>
      </c>
      <c r="I241" s="12">
        <f t="shared" si="25"/>
        <v>0.1922091927550732</v>
      </c>
      <c r="J241" s="15">
        <f t="shared" si="26"/>
        <v>54.368861382753678</v>
      </c>
    </row>
    <row r="242" spans="1:10" x14ac:dyDescent="0.25">
      <c r="A242" s="3">
        <v>235</v>
      </c>
      <c r="B242">
        <v>0.86016669999999995</v>
      </c>
      <c r="C242" s="3">
        <v>-4.6342718541456801E-2</v>
      </c>
      <c r="D242" s="12">
        <f t="shared" si="27"/>
        <v>0.96883751484547986</v>
      </c>
      <c r="E242" s="12">
        <f t="shared" si="28"/>
        <v>-1.3689692514344289E-3</v>
      </c>
      <c r="F242" s="13">
        <f t="shared" si="22"/>
        <v>-0.15846032483314604</v>
      </c>
      <c r="G242" s="12">
        <f t="shared" si="23"/>
        <v>0.75577843384810528</v>
      </c>
      <c r="H242" s="12">
        <f t="shared" si="24"/>
        <v>0.10438826615189467</v>
      </c>
      <c r="I242" s="12">
        <f t="shared" si="25"/>
        <v>1.0896910110198799E-2</v>
      </c>
      <c r="J242" s="15">
        <f t="shared" si="26"/>
        <v>12.135818109663472</v>
      </c>
    </row>
    <row r="243" spans="1:10" x14ac:dyDescent="0.25">
      <c r="A243" s="4">
        <v>236</v>
      </c>
      <c r="B243">
        <v>0.86195319999999997</v>
      </c>
      <c r="C243" s="3">
        <v>-4.8517517696153097E-2</v>
      </c>
      <c r="D243" s="12">
        <f t="shared" si="27"/>
        <v>0.98847268888907958</v>
      </c>
      <c r="E243" s="12">
        <f t="shared" si="28"/>
        <v>-3.9893702489710275E-4</v>
      </c>
      <c r="F243" s="13">
        <f t="shared" si="22"/>
        <v>-0.15414346705199869</v>
      </c>
      <c r="G243" s="12">
        <f t="shared" si="23"/>
        <v>0.80403700067690465</v>
      </c>
      <c r="H243" s="12">
        <f t="shared" si="24"/>
        <v>5.791619932309533E-2</v>
      </c>
      <c r="I243" s="12">
        <f t="shared" si="25"/>
        <v>3.3542861440325079E-3</v>
      </c>
      <c r="J243" s="15">
        <f t="shared" si="26"/>
        <v>6.7191814269145151</v>
      </c>
    </row>
    <row r="244" spans="1:10" x14ac:dyDescent="0.25">
      <c r="A244" s="3">
        <v>237</v>
      </c>
      <c r="B244">
        <v>0.86103430000000003</v>
      </c>
      <c r="C244" s="3">
        <v>7.7335839666151804E-2</v>
      </c>
      <c r="D244" s="12">
        <f t="shared" si="27"/>
        <v>0.9502240552404464</v>
      </c>
      <c r="E244" s="12">
        <f t="shared" si="28"/>
        <v>-2.1469457379382764E-3</v>
      </c>
      <c r="F244" s="13">
        <f t="shared" si="22"/>
        <v>-3.9411043568145461E-2</v>
      </c>
      <c r="G244" s="12">
        <f t="shared" si="23"/>
        <v>0.96539992649509487</v>
      </c>
      <c r="H244" s="12">
        <f t="shared" si="24"/>
        <v>0.10436562649509484</v>
      </c>
      <c r="I244" s="12">
        <f t="shared" si="25"/>
        <v>1.0892183993713642E-2</v>
      </c>
      <c r="J244" s="15">
        <f t="shared" si="26"/>
        <v>12.120960395549265</v>
      </c>
    </row>
    <row r="245" spans="1:10" x14ac:dyDescent="0.25">
      <c r="A245" s="4">
        <v>238</v>
      </c>
      <c r="B245">
        <v>0.91286869999999998</v>
      </c>
      <c r="C245" s="3">
        <v>1.4758979835483399</v>
      </c>
      <c r="D245" s="12">
        <f t="shared" si="27"/>
        <v>0.96386429076204583</v>
      </c>
      <c r="E245" s="12">
        <f t="shared" si="28"/>
        <v>-1.4178479417164087E-3</v>
      </c>
      <c r="F245" s="13">
        <f t="shared" si="22"/>
        <v>-7.1758387141873423E-2</v>
      </c>
      <c r="G245" s="12">
        <f t="shared" si="23"/>
        <v>0.86933759645847208</v>
      </c>
      <c r="H245" s="12">
        <f t="shared" si="24"/>
        <v>4.3531103541527894E-2</v>
      </c>
      <c r="I245" s="12">
        <f t="shared" si="25"/>
        <v>1.8949569755432223E-3</v>
      </c>
      <c r="J245" s="15">
        <f t="shared" si="26"/>
        <v>4.7686051172011812</v>
      </c>
    </row>
    <row r="246" spans="1:10" x14ac:dyDescent="0.25">
      <c r="A246" s="3">
        <v>239</v>
      </c>
      <c r="B246">
        <v>1.3584147</v>
      </c>
      <c r="C246" s="3">
        <v>-0.77968636639604505</v>
      </c>
      <c r="D246" s="12">
        <f t="shared" si="27"/>
        <v>0.94137570313424845</v>
      </c>
      <c r="E246" s="12">
        <f t="shared" si="28"/>
        <v>-2.3909557826493847E-3</v>
      </c>
      <c r="F246" s="13">
        <f t="shared" si="22"/>
        <v>0.44475056047436878</v>
      </c>
      <c r="G246" s="12">
        <f t="shared" si="23"/>
        <v>1.4165145302288593</v>
      </c>
      <c r="H246" s="12">
        <f t="shared" si="24"/>
        <v>5.8099830228859339E-2</v>
      </c>
      <c r="I246" s="12">
        <f t="shared" si="25"/>
        <v>3.3755902726222775E-3</v>
      </c>
      <c r="J246" s="15">
        <f t="shared" si="26"/>
        <v>4.2770319129246275</v>
      </c>
    </row>
    <row r="247" spans="1:10" x14ac:dyDescent="0.25">
      <c r="A247" s="4">
        <v>240</v>
      </c>
      <c r="B247">
        <v>0.49129859999999997</v>
      </c>
      <c r="C247" s="3">
        <v>0.17500232030302901</v>
      </c>
      <c r="D247" s="12">
        <f t="shared" si="27"/>
        <v>0.96195991588159468</v>
      </c>
      <c r="E247" s="12">
        <f t="shared" si="28"/>
        <v>-1.3298958969319306E-3</v>
      </c>
      <c r="F247" s="13">
        <f t="shared" si="22"/>
        <v>-0.50087752345774617</v>
      </c>
      <c r="G247" s="12">
        <f t="shared" si="23"/>
        <v>0.42794755438132337</v>
      </c>
      <c r="H247" s="12">
        <f t="shared" si="24"/>
        <v>6.3351045618676605E-2</v>
      </c>
      <c r="I247" s="12">
        <f t="shared" si="25"/>
        <v>4.0133549809796441E-3</v>
      </c>
      <c r="J247" s="15">
        <f t="shared" si="26"/>
        <v>12.894611468194009</v>
      </c>
    </row>
    <row r="248" spans="1:10" x14ac:dyDescent="0.25">
      <c r="A248" s="3">
        <v>241</v>
      </c>
      <c r="B248">
        <v>0.95132039999999995</v>
      </c>
      <c r="C248" s="3">
        <v>-5.28441814012299E-2</v>
      </c>
      <c r="D248" s="12">
        <f t="shared" si="27"/>
        <v>1.004009139114763</v>
      </c>
      <c r="E248" s="12">
        <f t="shared" si="28"/>
        <v>6.7347757676492338E-4</v>
      </c>
      <c r="F248" s="13">
        <f t="shared" si="22"/>
        <v>-0.10973957059808535</v>
      </c>
      <c r="G248" s="12">
        <f t="shared" si="23"/>
        <v>0.83170810852448196</v>
      </c>
      <c r="H248" s="12">
        <f t="shared" si="24"/>
        <v>0.119612291475518</v>
      </c>
      <c r="I248" s="12">
        <f t="shared" si="25"/>
        <v>1.4307100272024274E-2</v>
      </c>
      <c r="J248" s="15">
        <f t="shared" si="26"/>
        <v>12.573291971402906</v>
      </c>
    </row>
    <row r="249" spans="1:10" x14ac:dyDescent="0.25">
      <c r="A249" s="4">
        <v>242</v>
      </c>
      <c r="B249">
        <v>0.85920370000000001</v>
      </c>
      <c r="C249" s="3">
        <v>0.22100866911491099</v>
      </c>
      <c r="D249" s="12">
        <f t="shared" si="27"/>
        <v>0.97698483114395884</v>
      </c>
      <c r="E249" s="12">
        <f t="shared" si="28"/>
        <v>-6.0568645327737443E-4</v>
      </c>
      <c r="F249" s="13">
        <f t="shared" si="22"/>
        <v>-8.135388855758062E-2</v>
      </c>
      <c r="G249" s="12">
        <f t="shared" si="23"/>
        <v>0.93557674916695222</v>
      </c>
      <c r="H249" s="12">
        <f t="shared" si="24"/>
        <v>7.63730491669522E-2</v>
      </c>
      <c r="I249" s="12">
        <f t="shared" si="25"/>
        <v>5.8328426390576978E-3</v>
      </c>
      <c r="J249" s="15">
        <f t="shared" si="26"/>
        <v>8.8888175373258047</v>
      </c>
    </row>
    <row r="250" spans="1:10" x14ac:dyDescent="0.25">
      <c r="A250" s="3">
        <v>243</v>
      </c>
      <c r="B250">
        <v>0.96893339999999994</v>
      </c>
      <c r="C250" s="3">
        <v>0.29938803588738599</v>
      </c>
      <c r="D250" s="12">
        <f t="shared" si="27"/>
        <v>0.99050560256456266</v>
      </c>
      <c r="E250" s="12">
        <f t="shared" si="28"/>
        <v>4.6714322703164755E-5</v>
      </c>
      <c r="F250" s="13">
        <f t="shared" si="22"/>
        <v>-4.0150868608978305E-2</v>
      </c>
      <c r="G250" s="12">
        <f t="shared" si="23"/>
        <v>0.92998152567402148</v>
      </c>
      <c r="H250" s="12">
        <f t="shared" si="24"/>
        <v>3.8951874325978464E-2</v>
      </c>
      <c r="I250" s="12">
        <f t="shared" si="25"/>
        <v>1.5172485135068203E-3</v>
      </c>
      <c r="J250" s="15">
        <f t="shared" si="26"/>
        <v>4.0200775745761748</v>
      </c>
    </row>
    <row r="251" spans="1:10" x14ac:dyDescent="0.25">
      <c r="A251" s="4">
        <v>244</v>
      </c>
      <c r="B251">
        <v>0.99824360000000001</v>
      </c>
      <c r="C251" s="3">
        <v>0.18129729538856801</v>
      </c>
      <c r="D251" s="12">
        <f t="shared" si="27"/>
        <v>1.0159775710595582</v>
      </c>
      <c r="E251" s="12">
        <f t="shared" si="28"/>
        <v>1.2209262659656733E-3</v>
      </c>
      <c r="F251" s="13">
        <f t="shared" si="22"/>
        <v>-5.117245299031685E-2</v>
      </c>
      <c r="G251" s="12">
        <f t="shared" si="23"/>
        <v>0.92813676118258548</v>
      </c>
      <c r="H251" s="12">
        <f t="shared" si="24"/>
        <v>7.010683881741453E-2</v>
      </c>
      <c r="I251" s="12">
        <f t="shared" si="25"/>
        <v>4.9149688489709409E-3</v>
      </c>
      <c r="J251" s="15">
        <f t="shared" si="26"/>
        <v>7.0230191125106671</v>
      </c>
    </row>
    <row r="252" spans="1:10" x14ac:dyDescent="0.25">
      <c r="A252" s="3">
        <v>245</v>
      </c>
      <c r="B252">
        <v>0.9537487</v>
      </c>
      <c r="C252" s="3">
        <v>0.57493653483564999</v>
      </c>
      <c r="D252" s="12">
        <f t="shared" si="27"/>
        <v>1.0363421568764108</v>
      </c>
      <c r="E252" s="12">
        <f t="shared" si="28"/>
        <v>2.1050359598187803E-3</v>
      </c>
      <c r="F252" s="13">
        <f t="shared" si="22"/>
        <v>-0.10777058626292958</v>
      </c>
      <c r="G252" s="12">
        <f t="shared" si="23"/>
        <v>0.90096254315708946</v>
      </c>
      <c r="H252" s="12">
        <f t="shared" si="24"/>
        <v>5.2786156842910548E-2</v>
      </c>
      <c r="I252" s="12">
        <f t="shared" si="25"/>
        <v>2.7863783542443521E-3</v>
      </c>
      <c r="J252" s="15">
        <f t="shared" si="26"/>
        <v>5.5345980385515121</v>
      </c>
    </row>
    <row r="253" spans="1:10" x14ac:dyDescent="0.25">
      <c r="A253" s="4">
        <v>246</v>
      </c>
      <c r="B253">
        <v>1.094959</v>
      </c>
      <c r="C253" s="3">
        <v>0.490381217425711</v>
      </c>
      <c r="D253" s="12">
        <f t="shared" si="27"/>
        <v>1.0294258875784204</v>
      </c>
      <c r="E253" s="12">
        <f t="shared" si="28"/>
        <v>1.6884059310389567E-3</v>
      </c>
      <c r="F253" s="13">
        <f t="shared" si="22"/>
        <v>7.7397644858932829E-2</v>
      </c>
      <c r="G253" s="12">
        <f t="shared" si="23"/>
        <v>1.1198340785084051</v>
      </c>
      <c r="H253" s="12">
        <f t="shared" si="24"/>
        <v>2.4875078508405091E-2</v>
      </c>
      <c r="I253" s="12">
        <f t="shared" si="25"/>
        <v>6.1876953079931685E-4</v>
      </c>
      <c r="J253" s="15">
        <f t="shared" si="26"/>
        <v>2.2717817295812068</v>
      </c>
    </row>
    <row r="254" spans="1:10" x14ac:dyDescent="0.25">
      <c r="A254" s="3">
        <v>247</v>
      </c>
      <c r="B254">
        <v>1.066263</v>
      </c>
      <c r="C254" s="3">
        <v>0.101381384393001</v>
      </c>
      <c r="D254" s="12">
        <f t="shared" si="27"/>
        <v>1.1013293954095218</v>
      </c>
      <c r="E254" s="12">
        <f t="shared" si="28"/>
        <v>4.9311428842174192E-3</v>
      </c>
      <c r="F254" s="13">
        <f t="shared" si="22"/>
        <v>-0.12741105400138336</v>
      </c>
      <c r="G254" s="12">
        <f t="shared" si="23"/>
        <v>0.87265396867631329</v>
      </c>
      <c r="H254" s="12">
        <f t="shared" si="24"/>
        <v>0.19360903132368668</v>
      </c>
      <c r="I254" s="12">
        <f t="shared" si="25"/>
        <v>3.7484457010096291E-2</v>
      </c>
      <c r="J254" s="15">
        <f t="shared" si="26"/>
        <v>18.15771824809514</v>
      </c>
    </row>
    <row r="255" spans="1:10" x14ac:dyDescent="0.25">
      <c r="A255" s="4">
        <v>248</v>
      </c>
      <c r="B255">
        <v>0.9224736</v>
      </c>
      <c r="C255" s="3">
        <v>0.89108851188881399</v>
      </c>
      <c r="D255" s="12">
        <f t="shared" si="27"/>
        <v>1.0955099067778438</v>
      </c>
      <c r="E255" s="12">
        <f t="shared" si="28"/>
        <v>4.4346475556737439E-3</v>
      </c>
      <c r="F255" s="13">
        <f t="shared" si="22"/>
        <v>-0.15889741969917437</v>
      </c>
      <c r="G255" s="12">
        <f t="shared" si="23"/>
        <v>0.9521170712417405</v>
      </c>
      <c r="H255" s="12">
        <f t="shared" si="24"/>
        <v>2.9643471241740493E-2</v>
      </c>
      <c r="I255" s="12">
        <f t="shared" si="25"/>
        <v>8.7873538725989566E-4</v>
      </c>
      <c r="J255" s="15">
        <f t="shared" si="26"/>
        <v>3.2134763793500962</v>
      </c>
    </row>
    <row r="256" spans="1:10" x14ac:dyDescent="0.25">
      <c r="A256" s="3">
        <v>249</v>
      </c>
      <c r="B256">
        <v>1.1955007</v>
      </c>
      <c r="C256" s="3">
        <v>9.1229813250703506E-2</v>
      </c>
      <c r="D256" s="12">
        <f t="shared" si="27"/>
        <v>1.1488923481450091</v>
      </c>
      <c r="E256" s="12">
        <f t="shared" si="28"/>
        <v>6.6951985692576543E-3</v>
      </c>
      <c r="F256" s="13">
        <f t="shared" si="22"/>
        <v>-1.7766222645811618E-2</v>
      </c>
      <c r="G256" s="12">
        <f t="shared" si="23"/>
        <v>1.0605335107653722</v>
      </c>
      <c r="H256" s="12">
        <f t="shared" si="24"/>
        <v>0.1349671892346278</v>
      </c>
      <c r="I256" s="12">
        <f t="shared" si="25"/>
        <v>1.8216142169895831E-2</v>
      </c>
      <c r="J256" s="15">
        <f t="shared" si="26"/>
        <v>11.28959516582699</v>
      </c>
    </row>
    <row r="257" spans="1:10" x14ac:dyDescent="0.25">
      <c r="A257" s="4">
        <v>250</v>
      </c>
      <c r="B257">
        <v>0.91842990000000002</v>
      </c>
      <c r="C257" s="3">
        <v>2.9506619033007402</v>
      </c>
      <c r="D257" s="12">
        <f t="shared" si="27"/>
        <v>1.0956031245740911</v>
      </c>
      <c r="E257" s="12">
        <f t="shared" si="28"/>
        <v>3.9249440652357704E-3</v>
      </c>
      <c r="F257" s="13">
        <f t="shared" si="22"/>
        <v>-9.8283629124259975E-2</v>
      </c>
      <c r="G257" s="12">
        <f t="shared" si="23"/>
        <v>1.0838291595723932</v>
      </c>
      <c r="H257" s="12">
        <f t="shared" si="24"/>
        <v>0.16539925957239321</v>
      </c>
      <c r="I257" s="12">
        <f t="shared" si="25"/>
        <v>2.7356915067095908E-2</v>
      </c>
      <c r="J257" s="15">
        <f t="shared" si="26"/>
        <v>18.008914950655811</v>
      </c>
    </row>
    <row r="258" spans="1:10" x14ac:dyDescent="0.25">
      <c r="A258" s="3">
        <v>251</v>
      </c>
      <c r="B258">
        <v>1.6798564</v>
      </c>
      <c r="C258" s="3">
        <v>-1.2237896234676</v>
      </c>
      <c r="D258" s="12">
        <f t="shared" si="27"/>
        <v>1.1486972986751396</v>
      </c>
      <c r="E258" s="12">
        <f t="shared" si="28"/>
        <v>6.1957216455830588E-3</v>
      </c>
      <c r="F258" s="13">
        <f t="shared" si="22"/>
        <v>0.46649330097689051</v>
      </c>
      <c r="G258" s="12">
        <f t="shared" si="23"/>
        <v>1.5442786291136956</v>
      </c>
      <c r="H258" s="12">
        <f t="shared" si="24"/>
        <v>0.13557777088630441</v>
      </c>
      <c r="I258" s="12">
        <f t="shared" si="25"/>
        <v>1.8381331958499249E-2</v>
      </c>
      <c r="J258" s="15">
        <f t="shared" si="26"/>
        <v>8.070795270732928</v>
      </c>
    </row>
    <row r="259" spans="1:10" x14ac:dyDescent="0.25">
      <c r="A259" s="4">
        <v>252</v>
      </c>
      <c r="B259">
        <v>0.174234</v>
      </c>
      <c r="C259" s="3">
        <v>-0.260723145887649</v>
      </c>
      <c r="D259" s="12">
        <f t="shared" si="27"/>
        <v>0.98089335480058937</v>
      </c>
      <c r="E259" s="12">
        <f t="shared" si="28"/>
        <v>-1.8400873179346099E-3</v>
      </c>
      <c r="F259" s="13">
        <f t="shared" si="22"/>
        <v>-0.57782055413311584</v>
      </c>
      <c r="G259" s="12">
        <v>0.1741</v>
      </c>
      <c r="H259" s="12">
        <f t="shared" si="24"/>
        <v>1.3399999999999523E-4</v>
      </c>
      <c r="I259" s="12">
        <f t="shared" si="25"/>
        <v>1.7955999999998722E-8</v>
      </c>
      <c r="J259" s="15">
        <f t="shared" si="26"/>
        <v>7.69080661638918E-2</v>
      </c>
    </row>
    <row r="260" spans="1:10" x14ac:dyDescent="0.25">
      <c r="A260" s="3">
        <v>253</v>
      </c>
      <c r="B260">
        <v>0.76704830000000002</v>
      </c>
      <c r="C260" s="3">
        <v>1.18195659169065</v>
      </c>
      <c r="D260" s="12">
        <f t="shared" si="27"/>
        <v>0.9419652493566022</v>
      </c>
      <c r="E260" s="12">
        <f t="shared" si="28"/>
        <v>-3.5529195099134733E-3</v>
      </c>
      <c r="F260" s="13">
        <f t="shared" si="22"/>
        <v>-0.12613997290823431</v>
      </c>
      <c r="G260" s="12">
        <f t="shared" si="23"/>
        <v>0.86931369688456939</v>
      </c>
      <c r="H260" s="12">
        <f t="shared" si="24"/>
        <v>0.10226539688456937</v>
      </c>
      <c r="I260" s="12">
        <f t="shared" si="25"/>
        <v>1.045821139995849E-2</v>
      </c>
      <c r="J260" s="15">
        <f t="shared" si="26"/>
        <v>13.332328209914468</v>
      </c>
    </row>
    <row r="261" spans="1:10" x14ac:dyDescent="0.25">
      <c r="A261" s="4">
        <v>254</v>
      </c>
      <c r="B261">
        <v>1.2798445000000001</v>
      </c>
      <c r="C261" s="3">
        <v>1.1073227524362199</v>
      </c>
      <c r="D261" s="12">
        <f t="shared" si="27"/>
        <v>1.0917417793633306</v>
      </c>
      <c r="E261" s="12">
        <f t="shared" si="28"/>
        <v>3.5282789574162983E-3</v>
      </c>
      <c r="F261" s="13">
        <f t="shared" si="22"/>
        <v>-1.3551272372485552E-2</v>
      </c>
      <c r="G261" s="12">
        <f t="shared" si="23"/>
        <v>0.85705844128910813</v>
      </c>
      <c r="H261" s="12">
        <f t="shared" si="24"/>
        <v>0.42278605871089192</v>
      </c>
      <c r="I261" s="12">
        <f t="shared" si="25"/>
        <v>0.17874805144028974</v>
      </c>
      <c r="J261" s="15">
        <f t="shared" si="26"/>
        <v>33.03417397276715</v>
      </c>
    </row>
    <row r="262" spans="1:10" x14ac:dyDescent="0.25">
      <c r="A262" s="3">
        <v>255</v>
      </c>
      <c r="B262">
        <v>1.2588718000000001</v>
      </c>
      <c r="C262" s="3">
        <v>1.7249942791947701</v>
      </c>
      <c r="D262" s="12">
        <f t="shared" si="27"/>
        <v>1.169163875132802</v>
      </c>
      <c r="E262" s="12">
        <f t="shared" si="28"/>
        <v>6.9409096295030628E-3</v>
      </c>
      <c r="F262" s="13">
        <f t="shared" si="22"/>
        <v>-7.4748620391138325E-3</v>
      </c>
      <c r="G262" s="12">
        <f t="shared" si="23"/>
        <v>1.0551191897117687</v>
      </c>
      <c r="H262" s="12">
        <f t="shared" si="24"/>
        <v>0.20375261028823144</v>
      </c>
      <c r="I262" s="12">
        <f t="shared" si="25"/>
        <v>4.1515126199267914E-2</v>
      </c>
      <c r="J262" s="15">
        <f t="shared" si="26"/>
        <v>16.185334383392451</v>
      </c>
    </row>
    <row r="263" spans="1:10" x14ac:dyDescent="0.25">
      <c r="A263" s="4">
        <v>256</v>
      </c>
      <c r="B263">
        <v>1.4204827</v>
      </c>
      <c r="C263" s="3">
        <v>3.1057826574036098</v>
      </c>
      <c r="D263" s="12">
        <f t="shared" si="27"/>
        <v>1.2832903797722626</v>
      </c>
      <c r="E263" s="12">
        <f t="shared" si="28"/>
        <v>1.1891051128719504E-2</v>
      </c>
      <c r="F263" s="13">
        <f t="shared" si="22"/>
        <v>-3.7747496662569741E-3</v>
      </c>
      <c r="G263" s="12">
        <f t="shared" si="23"/>
        <v>1.1249323317719881</v>
      </c>
      <c r="H263" s="12">
        <f t="shared" si="24"/>
        <v>0.29555036822801184</v>
      </c>
      <c r="I263" s="12">
        <f t="shared" si="25"/>
        <v>8.7350020159713396E-2</v>
      </c>
      <c r="J263" s="15">
        <f t="shared" si="26"/>
        <v>20.8063335250765</v>
      </c>
    </row>
    <row r="264" spans="1:10" x14ac:dyDescent="0.25">
      <c r="A264" s="3">
        <v>257</v>
      </c>
      <c r="B264">
        <v>1.7083609</v>
      </c>
      <c r="C264" s="3">
        <v>2.6273590088825798</v>
      </c>
      <c r="D264" s="12">
        <f t="shared" si="27"/>
        <v>1.4841114667159347</v>
      </c>
      <c r="E264" s="12">
        <f t="shared" si="28"/>
        <v>2.0616387874288371E-2</v>
      </c>
      <c r="F264" s="13">
        <f t="shared" si="22"/>
        <v>-2.4225313358214991E-2</v>
      </c>
      <c r="G264" s="12">
        <f t="shared" si="23"/>
        <v>1.1874108446380525</v>
      </c>
      <c r="H264" s="12">
        <f t="shared" si="24"/>
        <v>0.52095005536194749</v>
      </c>
      <c r="I264" s="12">
        <f t="shared" si="25"/>
        <v>0.27138896018161618</v>
      </c>
      <c r="J264" s="15">
        <f t="shared" si="26"/>
        <v>30.494145315661786</v>
      </c>
    </row>
    <row r="265" spans="1:10" x14ac:dyDescent="0.25">
      <c r="A265" s="4">
        <v>258</v>
      </c>
      <c r="B265">
        <v>1.6177002</v>
      </c>
      <c r="C265" s="3">
        <v>-0.27749399538957098</v>
      </c>
      <c r="D265" s="12">
        <f t="shared" si="27"/>
        <v>1.5176295317855686</v>
      </c>
      <c r="E265" s="12">
        <f t="shared" si="28"/>
        <v>2.1212224728002167E-2</v>
      </c>
      <c r="F265" s="13">
        <f t="shared" si="22"/>
        <v>8.310279458573111E-2</v>
      </c>
      <c r="G265" s="12">
        <f t="shared" si="23"/>
        <v>1.582125499449156</v>
      </c>
      <c r="H265" s="12">
        <f t="shared" si="24"/>
        <v>3.5574700550843996E-2</v>
      </c>
      <c r="I265" s="12">
        <f t="shared" si="25"/>
        <v>1.2655593192822201E-3</v>
      </c>
      <c r="J265" s="15">
        <f t="shared" si="26"/>
        <v>2.1990910646387998</v>
      </c>
    </row>
    <row r="266" spans="1:10" x14ac:dyDescent="0.25">
      <c r="A266" s="3">
        <v>259</v>
      </c>
      <c r="B266">
        <v>0.75922970000000001</v>
      </c>
      <c r="C266" s="3">
        <v>0.30913407100158202</v>
      </c>
      <c r="D266" s="12">
        <f t="shared" si="27"/>
        <v>1.3023116755683559</v>
      </c>
      <c r="E266" s="12">
        <f t="shared" si="28"/>
        <v>1.0288579909954007E-2</v>
      </c>
      <c r="F266" s="13">
        <f t="shared" si="22"/>
        <v>-0.23200517042920785</v>
      </c>
      <c r="G266" s="12">
        <v>0.76</v>
      </c>
      <c r="H266" s="12">
        <f t="shared" si="24"/>
        <v>7.7030000000000154E-4</v>
      </c>
      <c r="I266" s="12">
        <f t="shared" si="25"/>
        <v>5.9336209000000235E-7</v>
      </c>
      <c r="J266" s="15">
        <f t="shared" si="26"/>
        <v>0.10145809627837288</v>
      </c>
    </row>
    <row r="267" spans="1:10" x14ac:dyDescent="0.25">
      <c r="A267" s="4">
        <v>260</v>
      </c>
      <c r="B267">
        <v>1.0018289</v>
      </c>
      <c r="C267" s="3">
        <v>1.5122928237754001</v>
      </c>
      <c r="D267" s="12">
        <f t="shared" si="27"/>
        <v>1.2575209866870356</v>
      </c>
      <c r="E267" s="12">
        <f t="shared" si="28"/>
        <v>7.7448596071945305E-3</v>
      </c>
      <c r="F267" s="13">
        <f t="shared" si="22"/>
        <v>-0.18325359219821619</v>
      </c>
      <c r="G267" s="12">
        <f t="shared" si="23"/>
        <v>1.1537028357791355</v>
      </c>
      <c r="H267" s="12">
        <f t="shared" si="24"/>
        <v>0.15187393577913544</v>
      </c>
      <c r="I267" s="12">
        <f t="shared" si="25"/>
        <v>2.3065692369044957E-2</v>
      </c>
      <c r="J267" s="15">
        <f t="shared" si="26"/>
        <v>15.159668060996786</v>
      </c>
    </row>
    <row r="268" spans="1:10" x14ac:dyDescent="0.25">
      <c r="A268" s="3">
        <v>261</v>
      </c>
      <c r="B268">
        <v>1.3677272</v>
      </c>
      <c r="C268" s="3">
        <v>0.16936690131425799</v>
      </c>
      <c r="D268" s="12">
        <f t="shared" si="27"/>
        <v>1.3088681073406705</v>
      </c>
      <c r="E268" s="12">
        <f t="shared" si="28"/>
        <v>9.7585384214568527E-3</v>
      </c>
      <c r="F268" s="13">
        <f t="shared" si="22"/>
        <v>1.5147920571940091E-3</v>
      </c>
      <c r="G268" s="12">
        <f t="shared" si="23"/>
        <v>1.2474996236484186</v>
      </c>
      <c r="H268" s="12">
        <f t="shared" si="24"/>
        <v>0.12022757635158143</v>
      </c>
      <c r="I268" s="12">
        <f t="shared" si="25"/>
        <v>1.4454670115375342E-2</v>
      </c>
      <c r="J268" s="15">
        <f t="shared" si="26"/>
        <v>8.790318445928504</v>
      </c>
    </row>
    <row r="269" spans="1:10" x14ac:dyDescent="0.25">
      <c r="A269" s="4">
        <v>262</v>
      </c>
      <c r="B269">
        <v>0.94914140000000002</v>
      </c>
      <c r="C269" s="3">
        <v>1.76583902252337</v>
      </c>
      <c r="D269" s="12">
        <f t="shared" si="27"/>
        <v>1.2202714759774425</v>
      </c>
      <c r="E269" s="12">
        <f t="shared" si="28"/>
        <v>5.2162115577731923E-3</v>
      </c>
      <c r="F269" s="13">
        <f t="shared" si="22"/>
        <v>-0.14177649920077487</v>
      </c>
      <c r="G269" s="12">
        <f t="shared" si="23"/>
        <v>1.2203430166378675</v>
      </c>
      <c r="H269" s="12">
        <f t="shared" si="24"/>
        <v>0.27120161663786746</v>
      </c>
      <c r="I269" s="12">
        <f t="shared" si="25"/>
        <v>7.3550316866992829E-2</v>
      </c>
      <c r="J269" s="15">
        <f t="shared" si="26"/>
        <v>28.573362898074773</v>
      </c>
    </row>
    <row r="270" spans="1:10" x14ac:dyDescent="0.25">
      <c r="A270" s="3">
        <v>263</v>
      </c>
      <c r="B270">
        <v>1.4303022999999999</v>
      </c>
      <c r="C270" s="3">
        <v>-0.77273258341314699</v>
      </c>
      <c r="D270" s="12">
        <f t="shared" si="27"/>
        <v>1.1305861447025678</v>
      </c>
      <c r="E270" s="12">
        <f t="shared" si="28"/>
        <v>8.3338319849679543E-4</v>
      </c>
      <c r="F270" s="13">
        <f t="shared" si="22"/>
        <v>0.42452763225284684</v>
      </c>
      <c r="G270" s="12">
        <f t="shared" si="23"/>
        <v>1.6919809885121062</v>
      </c>
      <c r="H270" s="12">
        <f t="shared" si="24"/>
        <v>0.26167868851210629</v>
      </c>
      <c r="I270" s="12">
        <f t="shared" si="25"/>
        <v>6.8475736021415948E-2</v>
      </c>
      <c r="J270" s="15">
        <f t="shared" si="26"/>
        <v>18.295341377281314</v>
      </c>
    </row>
    <row r="271" spans="1:10" x14ac:dyDescent="0.25">
      <c r="A271" s="4">
        <v>264</v>
      </c>
      <c r="B271">
        <v>0.49554409999999999</v>
      </c>
      <c r="C271" s="3">
        <v>4.4402605466245797E-2</v>
      </c>
      <c r="D271" s="12">
        <f t="shared" si="27"/>
        <v>1.1103650923226089</v>
      </c>
      <c r="E271" s="12">
        <f t="shared" si="28"/>
        <v>-1.3897167148186305E-4</v>
      </c>
      <c r="F271" s="13">
        <f t="shared" si="22"/>
        <v>-0.5871308713554112</v>
      </c>
      <c r="G271" s="12">
        <f t="shared" si="23"/>
        <v>0.55359897376794875</v>
      </c>
      <c r="H271" s="12">
        <f t="shared" si="24"/>
        <v>5.8054873767948767E-2</v>
      </c>
      <c r="I271" s="12">
        <f t="shared" si="25"/>
        <v>3.370368368212466E-3</v>
      </c>
      <c r="J271" s="15">
        <f t="shared" si="26"/>
        <v>11.715379875968408</v>
      </c>
    </row>
    <row r="272" spans="1:10" x14ac:dyDescent="0.25">
      <c r="A272" s="3">
        <v>265</v>
      </c>
      <c r="B272">
        <v>0.89956210000000003</v>
      </c>
      <c r="C272" s="3">
        <v>-0.20170781411821501</v>
      </c>
      <c r="D272" s="12">
        <f t="shared" si="27"/>
        <v>1.079572258149482</v>
      </c>
      <c r="E272" s="12">
        <f t="shared" si="28"/>
        <v>-1.5546559046716985E-3</v>
      </c>
      <c r="F272" s="13">
        <f t="shared" si="22"/>
        <v>-0.13969517760206013</v>
      </c>
      <c r="G272" s="12">
        <f t="shared" si="23"/>
        <v>0.98408614774289271</v>
      </c>
      <c r="H272" s="12">
        <f t="shared" si="24"/>
        <v>8.4524047742892683E-2</v>
      </c>
      <c r="I272" s="12">
        <f t="shared" si="25"/>
        <v>7.1443146468428012E-3</v>
      </c>
      <c r="J272" s="15">
        <f t="shared" si="26"/>
        <v>9.3961326008390849</v>
      </c>
    </row>
    <row r="273" spans="1:10" x14ac:dyDescent="0.25">
      <c r="A273" s="4">
        <v>266</v>
      </c>
      <c r="B273">
        <v>0.79408509999999999</v>
      </c>
      <c r="C273" s="3">
        <v>0.43798971703502798</v>
      </c>
      <c r="D273" s="12">
        <f t="shared" si="27"/>
        <v>0.97995995752879705</v>
      </c>
      <c r="E273" s="12">
        <f t="shared" si="28"/>
        <v>-6.0832421981849745E-3</v>
      </c>
      <c r="F273" s="13">
        <f t="shared" si="22"/>
        <v>-5.6912576216289215E-2</v>
      </c>
      <c r="G273" s="12">
        <f t="shared" si="23"/>
        <v>1.0644663298723247</v>
      </c>
      <c r="H273" s="12">
        <f t="shared" si="24"/>
        <v>0.27038122987232471</v>
      </c>
      <c r="I273" s="12">
        <f t="shared" si="25"/>
        <v>7.3106009467270902E-2</v>
      </c>
      <c r="J273" s="15">
        <f t="shared" si="26"/>
        <v>34.049402245719598</v>
      </c>
    </row>
    <row r="274" spans="1:10" x14ac:dyDescent="0.25">
      <c r="A274" s="3">
        <v>267</v>
      </c>
      <c r="B274">
        <v>1.0480602999999999</v>
      </c>
      <c r="C274" s="3">
        <v>-6.2668548557650403E-2</v>
      </c>
      <c r="D274" s="12">
        <f t="shared" si="27"/>
        <v>1.0034913263714185</v>
      </c>
      <c r="E274" s="12">
        <f t="shared" si="28"/>
        <v>-4.7155536101556759E-3</v>
      </c>
      <c r="F274" s="13">
        <f t="shared" si="22"/>
        <v>5.6207833975623041E-3</v>
      </c>
      <c r="G274" s="12">
        <f t="shared" si="23"/>
        <v>0.96640185329149819</v>
      </c>
      <c r="H274" s="12">
        <f t="shared" si="24"/>
        <v>8.1658446708501753E-2</v>
      </c>
      <c r="I274" s="12">
        <f t="shared" si="25"/>
        <v>6.6681019188452205E-3</v>
      </c>
      <c r="J274" s="15">
        <f t="shared" si="26"/>
        <v>7.7913882157831722</v>
      </c>
    </row>
    <row r="275" spans="1:10" x14ac:dyDescent="0.25">
      <c r="A275" s="4">
        <v>268</v>
      </c>
      <c r="B275">
        <v>0.85503439999999997</v>
      </c>
      <c r="C275" s="3">
        <v>0.119349249757466</v>
      </c>
      <c r="D275" s="12">
        <f t="shared" si="27"/>
        <v>0.9480148623014979</v>
      </c>
      <c r="E275" s="12">
        <f t="shared" si="28"/>
        <v>-7.0598396066232864E-3</v>
      </c>
      <c r="F275" s="13">
        <f t="shared" si="22"/>
        <v>-2.6221334715372906E-2</v>
      </c>
      <c r="G275" s="12">
        <f t="shared" si="23"/>
        <v>0.99500102309500582</v>
      </c>
      <c r="H275" s="12">
        <f t="shared" si="24"/>
        <v>0.13996662309500585</v>
      </c>
      <c r="I275" s="12">
        <f t="shared" si="25"/>
        <v>1.9590655580619426E-2</v>
      </c>
      <c r="J275" s="15">
        <f t="shared" si="26"/>
        <v>16.369706656832271</v>
      </c>
    </row>
    <row r="276" spans="1:10" x14ac:dyDescent="0.25">
      <c r="A276" s="3">
        <v>269</v>
      </c>
      <c r="B276">
        <v>0.9295911</v>
      </c>
      <c r="C276" s="3">
        <v>0.68112048954660598</v>
      </c>
      <c r="D276" s="12">
        <f t="shared" si="27"/>
        <v>0.94561939113796223</v>
      </c>
      <c r="E276" s="12">
        <f t="shared" si="28"/>
        <v>-6.8444255503257168E-3</v>
      </c>
      <c r="F276" s="13">
        <f t="shared" si="22"/>
        <v>-2.216271948411248E-2</v>
      </c>
      <c r="G276" s="12">
        <f t="shared" si="23"/>
        <v>0.91672970933665965</v>
      </c>
      <c r="H276" s="12">
        <f t="shared" si="24"/>
        <v>1.2861390663340355E-2</v>
      </c>
      <c r="I276" s="12">
        <f t="shared" si="25"/>
        <v>1.6541536979505845E-4</v>
      </c>
      <c r="J276" s="15">
        <f t="shared" si="26"/>
        <v>1.3835535498715892</v>
      </c>
    </row>
    <row r="277" spans="1:10" x14ac:dyDescent="0.25">
      <c r="A277" s="4">
        <v>270</v>
      </c>
      <c r="B277">
        <v>1.1298668000000001</v>
      </c>
      <c r="C277" s="3">
        <v>0.20090974839213099</v>
      </c>
      <c r="D277" s="12">
        <f t="shared" si="27"/>
        <v>0.97793874520926038</v>
      </c>
      <c r="E277" s="12">
        <f t="shared" si="28"/>
        <v>-5.035728675030513E-3</v>
      </c>
      <c r="F277" s="13">
        <f t="shared" ref="F277:F290" si="29">$G$3*(B277-D277)+(1-$G$3)*F265</f>
        <v>0.10042110314559061</v>
      </c>
      <c r="G277" s="12">
        <f t="shared" ref="G277:G290" si="30">D276+E276+F265</f>
        <v>1.0218777601733677</v>
      </c>
      <c r="H277" s="12">
        <f t="shared" ref="H277:H290" si="31">ABS(B277-G277)</f>
        <v>0.10798903982663233</v>
      </c>
      <c r="I277" s="12">
        <f t="shared" ref="I277:I290" si="32">(B277-G277)^2</f>
        <v>1.1661632722677983E-2</v>
      </c>
      <c r="J277" s="15">
        <f t="shared" ref="J277:J290" si="33">ABS((B277 - G277) / B277) * 100</f>
        <v>9.5576788190105528</v>
      </c>
    </row>
    <row r="278" spans="1:10" x14ac:dyDescent="0.25">
      <c r="A278" s="3">
        <v>271</v>
      </c>
      <c r="B278">
        <v>0.96127689999999999</v>
      </c>
      <c r="C278" s="3">
        <v>0.40636043832046997</v>
      </c>
      <c r="D278" s="12">
        <f t="shared" si="27"/>
        <v>1.0528266524311785</v>
      </c>
      <c r="E278" s="12">
        <f t="shared" si="28"/>
        <v>-1.3446234776857066E-3</v>
      </c>
      <c r="F278" s="13">
        <f t="shared" si="29"/>
        <v>-0.19666276474053454</v>
      </c>
      <c r="G278" s="12">
        <f t="shared" si="30"/>
        <v>0.74089784610502196</v>
      </c>
      <c r="H278" s="12">
        <f t="shared" si="31"/>
        <v>0.22037905389497803</v>
      </c>
      <c r="I278" s="12">
        <f t="shared" si="32"/>
        <v>4.856692739564563E-2</v>
      </c>
      <c r="J278" s="15">
        <f t="shared" si="33"/>
        <v>22.925657934251621</v>
      </c>
    </row>
    <row r="279" spans="1:10" x14ac:dyDescent="0.25">
      <c r="A279" s="4">
        <v>272</v>
      </c>
      <c r="B279">
        <v>1.0369086000000001</v>
      </c>
      <c r="C279" s="3">
        <v>0.345729112439561</v>
      </c>
      <c r="D279" s="12">
        <f t="shared" si="27"/>
        <v>1.112656318033769</v>
      </c>
      <c r="E279" s="12">
        <f t="shared" si="28"/>
        <v>1.4805825309501205E-3</v>
      </c>
      <c r="F279" s="13">
        <f t="shared" si="29"/>
        <v>-0.15620218846604642</v>
      </c>
      <c r="G279" s="12">
        <f t="shared" si="30"/>
        <v>0.86822843675527661</v>
      </c>
      <c r="H279" s="12">
        <f t="shared" si="31"/>
        <v>0.16868016324472346</v>
      </c>
      <c r="I279" s="12">
        <f t="shared" si="32"/>
        <v>2.8452997472266553E-2</v>
      </c>
      <c r="J279" s="15">
        <f t="shared" si="33"/>
        <v>16.267601912523769</v>
      </c>
    </row>
    <row r="280" spans="1:10" x14ac:dyDescent="0.25">
      <c r="A280" s="3">
        <v>273</v>
      </c>
      <c r="B280">
        <v>1.0151774</v>
      </c>
      <c r="C280" s="3">
        <v>-0.24488243298604001</v>
      </c>
      <c r="D280" s="12">
        <f t="shared" ref="D280:D288" si="34">$E$3 * (B280 - F268) + (1 - $E$3) * (D279 + E279)</f>
        <v>1.0776984521795829</v>
      </c>
      <c r="E280" s="12">
        <f t="shared" ref="E280:E290" si="35">$F$3 * (D280 - D279) + (1 - $F$3) * E279</f>
        <v>-2.0225064734740957E-4</v>
      </c>
      <c r="F280" s="13">
        <f t="shared" si="29"/>
        <v>-1.4598369100210505E-2</v>
      </c>
      <c r="G280" s="12">
        <f t="shared" si="30"/>
        <v>1.1156516926219131</v>
      </c>
      <c r="H280" s="12">
        <f t="shared" si="31"/>
        <v>0.1004742926219131</v>
      </c>
      <c r="I280" s="12">
        <f t="shared" si="32"/>
        <v>1.009508347787382E-2</v>
      </c>
      <c r="J280" s="15">
        <f t="shared" si="33"/>
        <v>9.8972152671949853</v>
      </c>
    </row>
    <row r="281" spans="1:10" x14ac:dyDescent="0.25">
      <c r="A281" s="4">
        <v>274</v>
      </c>
      <c r="B281">
        <v>0.77437750000000005</v>
      </c>
      <c r="C281" s="3">
        <v>1.9210316428751999</v>
      </c>
      <c r="D281" s="12">
        <f t="shared" si="34"/>
        <v>1.0189831295952962</v>
      </c>
      <c r="E281" s="12">
        <f t="shared" si="35"/>
        <v>-2.9045539336684089E-3</v>
      </c>
      <c r="F281" s="13">
        <f t="shared" si="29"/>
        <v>-0.16765110692197824</v>
      </c>
      <c r="G281" s="12">
        <f t="shared" si="30"/>
        <v>0.93571970233146073</v>
      </c>
      <c r="H281" s="12">
        <f t="shared" si="31"/>
        <v>0.16134220233146068</v>
      </c>
      <c r="I281" s="12">
        <f t="shared" si="32"/>
        <v>2.6031306253165996E-2</v>
      </c>
      <c r="J281" s="15">
        <f t="shared" si="33"/>
        <v>20.835083965050725</v>
      </c>
    </row>
    <row r="282" spans="1:10" x14ac:dyDescent="0.25">
      <c r="A282" s="3">
        <v>275</v>
      </c>
      <c r="B282">
        <v>1.4667574000000001</v>
      </c>
      <c r="C282" s="3">
        <v>-0.28691965969791899</v>
      </c>
      <c r="D282" s="12">
        <f t="shared" si="34"/>
        <v>1.0255626818757815</v>
      </c>
      <c r="E282" s="12">
        <f t="shared" si="35"/>
        <v>-2.4665504151051448E-3</v>
      </c>
      <c r="F282" s="13">
        <f t="shared" si="29"/>
        <v>0.42872152465593116</v>
      </c>
      <c r="G282" s="12">
        <f t="shared" si="30"/>
        <v>1.4406062079144746</v>
      </c>
      <c r="H282" s="12">
        <f t="shared" si="31"/>
        <v>2.6151192085525521E-2</v>
      </c>
      <c r="I282" s="12">
        <f t="shared" si="32"/>
        <v>6.8388484749405264E-4</v>
      </c>
      <c r="J282" s="15">
        <f t="shared" si="33"/>
        <v>1.7829255257567147</v>
      </c>
    </row>
    <row r="283" spans="1:10" x14ac:dyDescent="0.25">
      <c r="A283" s="4">
        <v>276</v>
      </c>
      <c r="B283">
        <v>0.75480849999999999</v>
      </c>
      <c r="C283" s="3">
        <v>0.40847264690696899</v>
      </c>
      <c r="D283" s="12">
        <f t="shared" si="34"/>
        <v>1.1387292216439853</v>
      </c>
      <c r="E283" s="12">
        <f t="shared" si="35"/>
        <v>2.8737208997656511E-3</v>
      </c>
      <c r="F283" s="13">
        <f t="shared" si="29"/>
        <v>-0.5359976672859319</v>
      </c>
      <c r="G283" s="12">
        <f t="shared" si="30"/>
        <v>0.43596526010526515</v>
      </c>
      <c r="H283" s="12">
        <f t="shared" si="31"/>
        <v>0.31884323989473484</v>
      </c>
      <c r="I283" s="12">
        <f t="shared" si="32"/>
        <v>0.10166101162657143</v>
      </c>
      <c r="J283" s="15">
        <f t="shared" si="33"/>
        <v>42.241606963187991</v>
      </c>
    </row>
    <row r="284" spans="1:10" x14ac:dyDescent="0.25">
      <c r="A284" s="3">
        <v>277</v>
      </c>
      <c r="B284">
        <v>1.0376571999999999</v>
      </c>
      <c r="C284" s="3">
        <v>0.809915043335106</v>
      </c>
      <c r="D284" s="12">
        <f t="shared" si="34"/>
        <v>1.1545679897232506</v>
      </c>
      <c r="E284" s="12">
        <f t="shared" si="35"/>
        <v>3.472484363051722E-3</v>
      </c>
      <c r="F284" s="13">
        <f t="shared" si="29"/>
        <v>-0.13396200553039056</v>
      </c>
      <c r="G284" s="12">
        <f t="shared" si="30"/>
        <v>1.0019077649416908</v>
      </c>
      <c r="H284" s="12">
        <f t="shared" si="31"/>
        <v>3.5749435058309187E-2</v>
      </c>
      <c r="I284" s="12">
        <f t="shared" si="32"/>
        <v>1.2780221069882659E-3</v>
      </c>
      <c r="J284" s="15">
        <f t="shared" si="33"/>
        <v>3.4452066692457963</v>
      </c>
    </row>
    <row r="285" spans="1:10" x14ac:dyDescent="0.25">
      <c r="A285" s="4">
        <v>278</v>
      </c>
      <c r="B285">
        <v>1.1706348</v>
      </c>
      <c r="C285" s="3">
        <v>0.12745165568811101</v>
      </c>
      <c r="D285" s="12">
        <f t="shared" si="34"/>
        <v>1.1832481525837755</v>
      </c>
      <c r="E285" s="12">
        <f t="shared" si="35"/>
        <v>4.6366480309182447E-3</v>
      </c>
      <c r="F285" s="13">
        <f t="shared" si="29"/>
        <v>-4.5765685938724203E-2</v>
      </c>
      <c r="G285" s="12">
        <f t="shared" si="30"/>
        <v>1.1011278978700132</v>
      </c>
      <c r="H285" s="12">
        <f t="shared" si="31"/>
        <v>6.9506902129986781E-2</v>
      </c>
      <c r="I285" s="12">
        <f t="shared" si="32"/>
        <v>4.8312094437075606E-3</v>
      </c>
      <c r="J285" s="15">
        <f t="shared" si="33"/>
        <v>5.9375393700910637</v>
      </c>
    </row>
    <row r="286" spans="1:10" x14ac:dyDescent="0.25">
      <c r="A286" s="3">
        <v>279</v>
      </c>
      <c r="B286">
        <v>0.9327841</v>
      </c>
      <c r="C286" s="3">
        <v>0.10832557997575799</v>
      </c>
      <c r="D286" s="12">
        <f t="shared" si="34"/>
        <v>1.0933304017713354</v>
      </c>
      <c r="E286" s="12">
        <f t="shared" si="35"/>
        <v>2.6985178740727544E-4</v>
      </c>
      <c r="F286" s="13">
        <f t="shared" si="29"/>
        <v>-3.6191377499113872E-2</v>
      </c>
      <c r="G286" s="12">
        <f t="shared" si="30"/>
        <v>1.1935055840122561</v>
      </c>
      <c r="H286" s="12">
        <f t="shared" si="31"/>
        <v>0.26072148401225614</v>
      </c>
      <c r="I286" s="12">
        <f t="shared" si="32"/>
        <v>6.7975692225553136E-2</v>
      </c>
      <c r="J286" s="15">
        <f t="shared" si="33"/>
        <v>27.950892817775962</v>
      </c>
    </row>
    <row r="287" spans="1:10" x14ac:dyDescent="0.25">
      <c r="A287" s="4">
        <v>280</v>
      </c>
      <c r="B287">
        <v>0.92523040000000001</v>
      </c>
      <c r="C287" s="3">
        <v>0.249857763270908</v>
      </c>
      <c r="D287" s="12">
        <f t="shared" si="34"/>
        <v>1.0420480472009546</v>
      </c>
      <c r="E287" s="12">
        <f t="shared" si="35"/>
        <v>-2.1109785475285849E-3</v>
      </c>
      <c r="F287" s="13">
        <f t="shared" si="29"/>
        <v>-4.9017832532268567E-2</v>
      </c>
      <c r="G287" s="12">
        <f t="shared" si="30"/>
        <v>1.06737891884337</v>
      </c>
      <c r="H287" s="12">
        <f t="shared" si="31"/>
        <v>0.14214851884336999</v>
      </c>
      <c r="I287" s="12">
        <f t="shared" si="32"/>
        <v>2.0206201409363911E-2</v>
      </c>
      <c r="J287" s="15">
        <f t="shared" si="33"/>
        <v>15.363580665245108</v>
      </c>
    </row>
    <row r="288" spans="1:10" x14ac:dyDescent="0.25">
      <c r="A288" s="16">
        <v>281</v>
      </c>
      <c r="B288">
        <v>0.97982179999999997</v>
      </c>
      <c r="C288" s="16">
        <v>0.58840823331977099</v>
      </c>
      <c r="D288" s="17">
        <f t="shared" si="34"/>
        <v>1.0261730304312873</v>
      </c>
      <c r="E288" s="17">
        <f t="shared" si="35"/>
        <v>-2.7466417333688133E-3</v>
      </c>
      <c r="F288" s="18">
        <f t="shared" si="29"/>
        <v>-2.8249207133253663E-2</v>
      </c>
      <c r="G288" s="12">
        <f t="shared" si="30"/>
        <v>1.0177743491693134</v>
      </c>
      <c r="H288" s="12">
        <f t="shared" si="31"/>
        <v>3.7952549169313454E-2</v>
      </c>
      <c r="I288" s="12">
        <f t="shared" si="32"/>
        <v>1.4403959884491553E-3</v>
      </c>
      <c r="J288" s="15">
        <f t="shared" si="33"/>
        <v>3.8734134277593597</v>
      </c>
    </row>
    <row r="289" spans="1:10" x14ac:dyDescent="0.25">
      <c r="A289" s="4">
        <v>282</v>
      </c>
      <c r="B289" s="13">
        <v>1.0994558999999999</v>
      </c>
      <c r="C289" s="3">
        <v>-0.163917825909276</v>
      </c>
      <c r="D289" s="12">
        <f>$E$3 * (B289 - F277) + (1 - $E$3) * (D288 + E288)</f>
        <v>1.0145804268381466</v>
      </c>
      <c r="E289" s="12">
        <f t="shared" si="35"/>
        <v>-3.1551738957221066E-3</v>
      </c>
      <c r="F289" s="13">
        <f t="shared" si="29"/>
        <v>9.650939956446597E-2</v>
      </c>
      <c r="G289" s="12">
        <f t="shared" si="30"/>
        <v>1.1238474918435091</v>
      </c>
      <c r="H289" s="12">
        <f t="shared" si="31"/>
        <v>2.4391591843509142E-2</v>
      </c>
      <c r="I289" s="12">
        <f t="shared" si="32"/>
        <v>5.9494975266034171E-4</v>
      </c>
      <c r="J289" s="15">
        <f t="shared" si="33"/>
        <v>2.2185147984115727</v>
      </c>
    </row>
    <row r="290" spans="1:10" x14ac:dyDescent="0.25">
      <c r="A290" s="3">
        <v>283</v>
      </c>
      <c r="B290" s="13">
        <v>0.81102169999999996</v>
      </c>
      <c r="C290" s="3"/>
      <c r="D290" s="12">
        <f>$E$3 * (B290 - F278) + (1 - $E$3) * (D289 + E289)</f>
        <v>1.0100686022583811</v>
      </c>
      <c r="E290" s="12">
        <f t="shared" si="35"/>
        <v>-3.2178279571227993E-3</v>
      </c>
      <c r="F290" s="13">
        <f t="shared" si="29"/>
        <v>-0.19726267862477148</v>
      </c>
      <c r="G290" s="12">
        <f t="shared" si="30"/>
        <v>0.81476248820189001</v>
      </c>
      <c r="H290" s="12">
        <f t="shared" si="31"/>
        <v>3.7407882018900551E-3</v>
      </c>
      <c r="I290" s="12">
        <f t="shared" si="32"/>
        <v>1.3993496371399832E-5</v>
      </c>
      <c r="J290" s="15">
        <f t="shared" si="33"/>
        <v>0.46124391022953581</v>
      </c>
    </row>
    <row r="292" spans="1:10" x14ac:dyDescent="0.25">
      <c r="G292" s="10" t="s">
        <v>13</v>
      </c>
    </row>
    <row r="293" spans="1:10" x14ac:dyDescent="0.25">
      <c r="G293" s="10" t="s">
        <v>14</v>
      </c>
      <c r="H293" s="7">
        <f>AVERAGE(H20:H290)</f>
        <v>0.12615132448958086</v>
      </c>
    </row>
    <row r="294" spans="1:10" x14ac:dyDescent="0.25">
      <c r="G294" s="10" t="s">
        <v>29</v>
      </c>
      <c r="H294" s="7">
        <f>SQRT(AVERAGE(I20:I290))</f>
        <v>0.17165490814359632</v>
      </c>
    </row>
    <row r="295" spans="1:10" x14ac:dyDescent="0.25">
      <c r="G295" s="14" t="s">
        <v>16</v>
      </c>
      <c r="H295" s="8">
        <f>AVERAGE(J20:J290)</f>
        <v>13.909560796069748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7002-55A3-4970-AFB5-768CD62790B8}">
  <dimension ref="A1:M25"/>
  <sheetViews>
    <sheetView tabSelected="1" topLeftCell="A13" workbookViewId="0">
      <selection activeCell="E30" sqref="E30"/>
    </sheetView>
  </sheetViews>
  <sheetFormatPr defaultColWidth="11.42578125" defaultRowHeight="15" x14ac:dyDescent="0.25"/>
  <cols>
    <col min="1" max="16384" width="11.42578125" style="1"/>
  </cols>
  <sheetData>
    <row r="1" spans="1:13" x14ac:dyDescent="0.2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x14ac:dyDescent="0.25">
      <c r="A2" s="1">
        <v>2001</v>
      </c>
      <c r="C2" s="1">
        <v>0.7784529</v>
      </c>
      <c r="D2" s="1">
        <v>0.86787800000000004</v>
      </c>
      <c r="E2" s="1">
        <v>1.2115399</v>
      </c>
      <c r="F2" s="1">
        <v>0.54967619999999995</v>
      </c>
      <c r="G2" s="1">
        <v>0.85256200000000004</v>
      </c>
      <c r="H2" s="1">
        <v>1.0038099</v>
      </c>
      <c r="I2" s="1">
        <v>0.72034330000000002</v>
      </c>
      <c r="J2" s="1">
        <v>0.84140800000000004</v>
      </c>
      <c r="K2" s="1">
        <v>0.86095770000000005</v>
      </c>
      <c r="L2" s="1">
        <v>0.77738339999999995</v>
      </c>
      <c r="M2" s="1">
        <v>1.300276</v>
      </c>
    </row>
    <row r="3" spans="1:13" x14ac:dyDescent="0.25">
      <c r="A3" s="1">
        <v>2002</v>
      </c>
      <c r="B3" s="1">
        <v>0.62483759999999999</v>
      </c>
      <c r="C3" s="1">
        <v>0.86946869999999998</v>
      </c>
      <c r="D3" s="1">
        <v>0.92698720000000001</v>
      </c>
      <c r="E3" s="1">
        <v>0.77331450000000002</v>
      </c>
      <c r="F3" s="1">
        <v>0.87814970000000003</v>
      </c>
      <c r="G3" s="1">
        <v>0.91537939999999995</v>
      </c>
      <c r="H3" s="1">
        <v>1.0929971999999999</v>
      </c>
      <c r="I3" s="1">
        <v>0.83809800000000001</v>
      </c>
      <c r="J3" s="1">
        <v>0.73146710000000004</v>
      </c>
      <c r="K3" s="1">
        <v>0.92971789999999999</v>
      </c>
      <c r="L3" s="1">
        <v>0.86773040000000001</v>
      </c>
      <c r="M3" s="1">
        <v>1.1075657999999999</v>
      </c>
    </row>
    <row r="4" spans="1:13" x14ac:dyDescent="0.25">
      <c r="A4" s="1">
        <v>2003</v>
      </c>
      <c r="B4" s="1">
        <v>1.4719572999999999</v>
      </c>
      <c r="C4" s="1">
        <v>1.5053605000000001</v>
      </c>
      <c r="D4" s="1">
        <v>1.4666256</v>
      </c>
      <c r="E4" s="1">
        <v>1.4936126000000001</v>
      </c>
      <c r="F4" s="1">
        <v>1.4946309</v>
      </c>
      <c r="G4" s="1">
        <v>0.93144930000000004</v>
      </c>
      <c r="H4" s="1">
        <v>1.1401554</v>
      </c>
      <c r="I4" s="1">
        <v>0.71335079999999995</v>
      </c>
      <c r="J4" s="1">
        <v>0.83787670000000003</v>
      </c>
      <c r="K4" s="1">
        <v>0.79299339999999996</v>
      </c>
      <c r="L4" s="1">
        <v>0.88574470000000005</v>
      </c>
      <c r="M4" s="1">
        <v>1.1691601</v>
      </c>
    </row>
    <row r="5" spans="1:13" x14ac:dyDescent="0.25">
      <c r="A5" s="1">
        <v>2004</v>
      </c>
      <c r="B5" s="1">
        <v>0.60986050000000003</v>
      </c>
      <c r="C5" s="1">
        <v>0.87575550000000002</v>
      </c>
      <c r="D5" s="1">
        <v>0.93018369999999995</v>
      </c>
      <c r="E5" s="1">
        <v>0.84773489999999996</v>
      </c>
      <c r="F5" s="1">
        <v>0.78679299999999996</v>
      </c>
      <c r="G5" s="1">
        <v>0.8902021</v>
      </c>
      <c r="H5" s="1">
        <v>1.1610157000000001</v>
      </c>
      <c r="I5" s="1">
        <v>0.76100469999999998</v>
      </c>
      <c r="J5" s="1">
        <v>0.97222500000000001</v>
      </c>
      <c r="K5" s="1">
        <v>1.1238497999999999</v>
      </c>
      <c r="L5" s="1">
        <v>1.35527</v>
      </c>
      <c r="M5" s="1">
        <v>1.2630923999999999</v>
      </c>
    </row>
    <row r="6" spans="1:13" x14ac:dyDescent="0.25">
      <c r="A6" s="1">
        <v>2005</v>
      </c>
      <c r="B6" s="1">
        <v>0.77347060000000001</v>
      </c>
      <c r="C6" s="1">
        <v>0.7709222</v>
      </c>
      <c r="D6" s="1">
        <v>1.0651972000000001</v>
      </c>
      <c r="E6" s="1">
        <v>0.7847094</v>
      </c>
      <c r="F6" s="1">
        <v>0.93461819999999995</v>
      </c>
      <c r="G6" s="1">
        <v>0.90339769999999997</v>
      </c>
      <c r="H6" s="1">
        <v>1.1457166000000001</v>
      </c>
      <c r="I6" s="1">
        <v>0.77390159999999997</v>
      </c>
      <c r="J6" s="1">
        <v>0.93227099999999996</v>
      </c>
      <c r="K6" s="1">
        <v>0.96015099999999998</v>
      </c>
      <c r="L6" s="1">
        <v>1.0596341</v>
      </c>
      <c r="M6" s="1">
        <v>1.2593139</v>
      </c>
    </row>
    <row r="7" spans="1:13" x14ac:dyDescent="0.25">
      <c r="A7" s="1">
        <v>2006</v>
      </c>
      <c r="B7" s="1">
        <v>0.64057059999999999</v>
      </c>
      <c r="C7" s="1">
        <v>0.8394064</v>
      </c>
      <c r="D7" s="1">
        <v>0.91925299999999999</v>
      </c>
      <c r="E7" s="1">
        <v>1.0581867</v>
      </c>
      <c r="F7" s="1">
        <v>0.78663810000000001</v>
      </c>
      <c r="G7" s="1">
        <v>0.90481829999999996</v>
      </c>
      <c r="H7" s="1">
        <v>1.2165193999999999</v>
      </c>
      <c r="I7" s="1">
        <v>0.5366168</v>
      </c>
      <c r="J7" s="1">
        <v>0.93222700000000003</v>
      </c>
      <c r="K7" s="1">
        <v>0.7936706</v>
      </c>
      <c r="L7" s="1">
        <v>0.96752749999999998</v>
      </c>
      <c r="M7" s="1">
        <v>1.2630627000000001</v>
      </c>
    </row>
    <row r="8" spans="1:13" x14ac:dyDescent="0.25">
      <c r="A8" s="1">
        <v>2007</v>
      </c>
      <c r="B8" s="1">
        <v>0.51210940000000005</v>
      </c>
      <c r="C8" s="1">
        <v>0.88599470000000002</v>
      </c>
      <c r="D8" s="1">
        <v>0.83565929999999999</v>
      </c>
      <c r="E8" s="1">
        <v>0.96600790000000003</v>
      </c>
      <c r="F8" s="1">
        <v>0.75342480000000001</v>
      </c>
      <c r="G8" s="1">
        <v>0.87595339999999999</v>
      </c>
      <c r="H8" s="1">
        <v>1.2029947000000001</v>
      </c>
      <c r="I8" s="1">
        <v>0.71473209999999998</v>
      </c>
      <c r="J8" s="1">
        <v>0.76483959999999995</v>
      </c>
      <c r="K8" s="1">
        <v>0.90532579999999996</v>
      </c>
      <c r="L8" s="1">
        <v>0.926929</v>
      </c>
      <c r="M8" s="1">
        <v>1.3558037000000001</v>
      </c>
    </row>
    <row r="9" spans="1:13" x14ac:dyDescent="0.25">
      <c r="A9" s="1">
        <v>2008</v>
      </c>
      <c r="B9" s="1">
        <v>0.50282459999999995</v>
      </c>
      <c r="C9" s="1">
        <v>0.84893430000000003</v>
      </c>
      <c r="D9" s="1">
        <v>1.0201302999999999</v>
      </c>
      <c r="E9" s="1">
        <v>0.76738620000000002</v>
      </c>
      <c r="F9" s="1">
        <v>1.0480763</v>
      </c>
      <c r="G9" s="1">
        <v>1.0847640999999999</v>
      </c>
      <c r="H9" s="1">
        <v>1.1708555</v>
      </c>
      <c r="I9" s="1">
        <v>1.107246</v>
      </c>
      <c r="J9" s="1">
        <v>1.7185979</v>
      </c>
      <c r="K9" s="1">
        <v>1.1069751999999999</v>
      </c>
      <c r="L9" s="1">
        <v>0.89422330000000005</v>
      </c>
      <c r="M9" s="1">
        <v>1.2082648</v>
      </c>
    </row>
    <row r="10" spans="1:13" x14ac:dyDescent="0.25">
      <c r="A10" s="1">
        <v>2009</v>
      </c>
      <c r="B10" s="1">
        <v>0.43166949999999998</v>
      </c>
      <c r="C10" s="1">
        <v>0.96141500000000002</v>
      </c>
      <c r="D10" s="1">
        <v>0.80103590000000002</v>
      </c>
      <c r="E10" s="1">
        <v>0.90329789999999999</v>
      </c>
      <c r="F10" s="1">
        <v>0.65738890000000005</v>
      </c>
      <c r="G10" s="1">
        <v>0.86914979999999997</v>
      </c>
      <c r="H10" s="1">
        <v>1.1078174999999999</v>
      </c>
      <c r="I10" s="1">
        <v>0.74208819999999998</v>
      </c>
      <c r="J10" s="1">
        <v>0.76571350000000005</v>
      </c>
      <c r="K10" s="1">
        <v>0.82924799999999999</v>
      </c>
      <c r="L10" s="1">
        <v>0.85895750000000004</v>
      </c>
      <c r="M10" s="1">
        <v>1.3070767999999999</v>
      </c>
    </row>
    <row r="11" spans="1:13" x14ac:dyDescent="0.25">
      <c r="A11" s="1">
        <v>2010</v>
      </c>
      <c r="B11" s="1">
        <v>0.63703960000000004</v>
      </c>
      <c r="C11" s="1">
        <v>0.82878189999999996</v>
      </c>
      <c r="D11" s="1">
        <v>0.97343729999999995</v>
      </c>
      <c r="E11" s="1">
        <v>0.69242409999999999</v>
      </c>
      <c r="F11" s="1">
        <v>0.9955463</v>
      </c>
      <c r="G11" s="1">
        <v>0.89124479999999995</v>
      </c>
      <c r="H11" s="1">
        <v>1.1423714</v>
      </c>
      <c r="I11" s="1">
        <v>0.79635719999999999</v>
      </c>
      <c r="J11" s="1">
        <v>0.82274809999999998</v>
      </c>
      <c r="K11" s="1">
        <v>0.9839871</v>
      </c>
      <c r="L11" s="1">
        <v>0.70030740000000002</v>
      </c>
      <c r="M11" s="1">
        <v>1.5329537</v>
      </c>
    </row>
    <row r="12" spans="1:13" x14ac:dyDescent="0.25">
      <c r="A12" s="1">
        <v>2011</v>
      </c>
      <c r="B12" s="1">
        <v>0.49535430000000003</v>
      </c>
      <c r="C12" s="1">
        <v>0.912582</v>
      </c>
      <c r="D12" s="1">
        <v>0.97160519999999995</v>
      </c>
      <c r="E12" s="1">
        <v>0.9826454</v>
      </c>
      <c r="F12" s="1">
        <v>0.78014720000000004</v>
      </c>
      <c r="G12" s="1">
        <v>0.95477069999999997</v>
      </c>
      <c r="H12" s="1">
        <v>1.1117946000000001</v>
      </c>
      <c r="I12" s="1">
        <v>0.89367509999999994</v>
      </c>
      <c r="J12" s="1">
        <v>1.1523606</v>
      </c>
      <c r="K12" s="1">
        <v>0.90874770000000005</v>
      </c>
      <c r="L12" s="1">
        <v>0.93674619999999997</v>
      </c>
      <c r="M12" s="1">
        <v>1.5275261</v>
      </c>
    </row>
    <row r="13" spans="1:13" x14ac:dyDescent="0.25">
      <c r="A13" s="1">
        <v>2012</v>
      </c>
      <c r="B13" s="1">
        <v>0.51646259999999999</v>
      </c>
      <c r="C13" s="1">
        <v>0.79135650000000002</v>
      </c>
      <c r="D13" s="1">
        <v>0.86675690000000005</v>
      </c>
      <c r="E13" s="1">
        <v>1.0572655</v>
      </c>
      <c r="F13" s="1">
        <v>0.81036949999999996</v>
      </c>
      <c r="G13" s="1">
        <v>0.8643575</v>
      </c>
      <c r="H13" s="1">
        <v>1.0934978</v>
      </c>
      <c r="I13" s="1">
        <v>0.83738999999999997</v>
      </c>
      <c r="J13" s="1">
        <v>0.86395270000000002</v>
      </c>
      <c r="K13" s="1">
        <v>0.80189560000000004</v>
      </c>
      <c r="L13" s="1">
        <v>0.86008470000000004</v>
      </c>
      <c r="M13" s="1">
        <v>1.5246206</v>
      </c>
    </row>
    <row r="14" spans="1:13" x14ac:dyDescent="0.25">
      <c r="A14" s="1">
        <v>2013</v>
      </c>
      <c r="B14" s="1">
        <v>0.79151280000000002</v>
      </c>
      <c r="C14" s="1">
        <v>0.99538479999999996</v>
      </c>
      <c r="D14" s="1">
        <v>1.0879566000000001</v>
      </c>
      <c r="E14" s="1">
        <v>0.62947679999999995</v>
      </c>
      <c r="F14" s="1">
        <v>0.9786918</v>
      </c>
      <c r="G14" s="1">
        <v>0.93605559999999999</v>
      </c>
      <c r="H14" s="1">
        <v>1.1669643000000001</v>
      </c>
      <c r="I14" s="1">
        <v>0.89122619999999997</v>
      </c>
      <c r="J14" s="1">
        <v>0.86880789999999997</v>
      </c>
      <c r="K14" s="1">
        <v>0.88956550000000001</v>
      </c>
      <c r="L14" s="1">
        <v>1.0982025</v>
      </c>
      <c r="M14" s="1">
        <v>1.4995546</v>
      </c>
    </row>
    <row r="15" spans="1:13" x14ac:dyDescent="0.25">
      <c r="A15" s="1">
        <v>2014</v>
      </c>
      <c r="B15" s="1">
        <v>0.51416600000000001</v>
      </c>
      <c r="C15" s="1">
        <v>0.96472089999999999</v>
      </c>
      <c r="D15" s="1">
        <v>0.84565199999999996</v>
      </c>
      <c r="E15" s="1">
        <v>1.0111873</v>
      </c>
      <c r="F15" s="1">
        <v>0.86535280000000003</v>
      </c>
      <c r="G15" s="1">
        <v>0.90903460000000003</v>
      </c>
      <c r="H15" s="1">
        <v>1.1318699999999999</v>
      </c>
      <c r="I15" s="1">
        <v>0.68817070000000002</v>
      </c>
      <c r="J15" s="1">
        <v>0.87944670000000003</v>
      </c>
      <c r="K15" s="1">
        <v>0.88707429999999998</v>
      </c>
      <c r="L15" s="1">
        <v>0.96048489999999997</v>
      </c>
      <c r="M15" s="1">
        <v>1.5526754</v>
      </c>
    </row>
    <row r="16" spans="1:13" x14ac:dyDescent="0.25">
      <c r="A16" s="1">
        <v>2015</v>
      </c>
      <c r="B16" s="1">
        <v>0.50102029999999997</v>
      </c>
      <c r="C16" s="1">
        <v>0.7170223</v>
      </c>
      <c r="D16" s="1">
        <v>0.96619469999999996</v>
      </c>
      <c r="E16" s="1">
        <v>1.0609843999999999</v>
      </c>
      <c r="F16" s="1">
        <v>1.0408141</v>
      </c>
      <c r="G16" s="1">
        <v>0.92291429999999997</v>
      </c>
      <c r="H16" s="1">
        <v>1.3249188999999999</v>
      </c>
      <c r="I16" s="1">
        <v>0.60194859999999994</v>
      </c>
      <c r="J16" s="1">
        <v>0.80174080000000003</v>
      </c>
      <c r="K16" s="1">
        <v>0.89767140000000001</v>
      </c>
      <c r="L16" s="1">
        <v>0.86541239999999997</v>
      </c>
      <c r="M16" s="1">
        <v>1.5415076000000001</v>
      </c>
    </row>
    <row r="17" spans="1:13" x14ac:dyDescent="0.25">
      <c r="A17" s="1">
        <v>2016</v>
      </c>
      <c r="B17" s="1">
        <v>0.31880320000000001</v>
      </c>
      <c r="C17" s="1">
        <v>0.96300169999999996</v>
      </c>
      <c r="D17" s="1">
        <v>0.92197499999999999</v>
      </c>
      <c r="E17" s="1">
        <v>0.6582789</v>
      </c>
      <c r="F17" s="1">
        <v>0.96352510000000002</v>
      </c>
      <c r="G17" s="1">
        <v>0.75374859999999999</v>
      </c>
      <c r="H17" s="1">
        <v>1.0376563999999999</v>
      </c>
      <c r="I17" s="1">
        <v>0.79283959999999998</v>
      </c>
      <c r="J17" s="1">
        <v>0.86803920000000001</v>
      </c>
      <c r="K17" s="1">
        <v>0.96346690000000001</v>
      </c>
      <c r="L17" s="1">
        <v>1.071761</v>
      </c>
      <c r="M17" s="1">
        <v>1.4402488</v>
      </c>
    </row>
    <row r="18" spans="1:13" x14ac:dyDescent="0.25">
      <c r="A18" s="1">
        <v>2017</v>
      </c>
      <c r="B18" s="1">
        <v>0.51503829999999995</v>
      </c>
      <c r="C18" s="1">
        <v>0.84313139999999998</v>
      </c>
      <c r="D18" s="1">
        <v>0.87565669999999995</v>
      </c>
      <c r="E18" s="1">
        <v>0.93733829999999996</v>
      </c>
      <c r="F18" s="1">
        <v>0.77624210000000005</v>
      </c>
      <c r="G18" s="1">
        <v>0.86029219999999995</v>
      </c>
      <c r="H18" s="1">
        <v>1.0027936</v>
      </c>
      <c r="I18" s="1">
        <v>0.8587108</v>
      </c>
      <c r="J18" s="1">
        <v>0.75229100000000004</v>
      </c>
      <c r="K18" s="1">
        <v>0.85844410000000004</v>
      </c>
      <c r="L18" s="1">
        <v>0.88748119999999997</v>
      </c>
      <c r="M18" s="1">
        <v>1.4362372999999999</v>
      </c>
    </row>
    <row r="19" spans="1:13" x14ac:dyDescent="0.25">
      <c r="A19" s="1">
        <v>2018</v>
      </c>
      <c r="B19" s="1">
        <v>0</v>
      </c>
      <c r="C19" s="1">
        <v>0.84084890000000001</v>
      </c>
      <c r="D19" s="1">
        <v>0.9674258</v>
      </c>
      <c r="E19" s="1">
        <v>0.68267420000000001</v>
      </c>
      <c r="F19" s="1">
        <v>1.0057117</v>
      </c>
      <c r="G19" s="1">
        <v>0.97813919999999999</v>
      </c>
      <c r="H19" s="1">
        <v>1.2238416999999999</v>
      </c>
      <c r="I19" s="1">
        <v>0.8846214</v>
      </c>
      <c r="J19" s="1">
        <v>0.79206449999999995</v>
      </c>
      <c r="K19" s="1">
        <v>0.86335110000000004</v>
      </c>
      <c r="L19" s="1">
        <v>0.87564969999999998</v>
      </c>
      <c r="M19" s="1">
        <v>1.4589265</v>
      </c>
    </row>
    <row r="20" spans="1:13" x14ac:dyDescent="0.25">
      <c r="A20" s="1">
        <v>2019</v>
      </c>
      <c r="B20" s="1">
        <v>0.4715396</v>
      </c>
      <c r="C20" s="1">
        <v>0.79450030000000005</v>
      </c>
      <c r="D20" s="1">
        <v>0.92958529999999995</v>
      </c>
      <c r="E20" s="1">
        <v>0.91764009999999996</v>
      </c>
      <c r="F20" s="1">
        <v>0.88281569999999998</v>
      </c>
      <c r="G20" s="1">
        <v>0.85732900000000001</v>
      </c>
      <c r="H20" s="1">
        <v>1.0969024000000001</v>
      </c>
      <c r="I20" s="1">
        <v>0.83979999999999999</v>
      </c>
      <c r="J20" s="1">
        <v>0.65490119999999996</v>
      </c>
      <c r="K20" s="1">
        <v>1.2097971999999999</v>
      </c>
      <c r="L20" s="1">
        <v>0.87029469999999998</v>
      </c>
      <c r="M20" s="1">
        <v>1.4846581999999999</v>
      </c>
    </row>
    <row r="21" spans="1:13" x14ac:dyDescent="0.25">
      <c r="A21" s="1">
        <v>2020</v>
      </c>
      <c r="B21" s="1">
        <v>0.49820140000000002</v>
      </c>
      <c r="C21" s="1">
        <v>0.90815020000000002</v>
      </c>
      <c r="D21" s="1">
        <v>0.87216729999999998</v>
      </c>
      <c r="E21" s="1">
        <v>1.2662674</v>
      </c>
      <c r="F21" s="1">
        <v>1.1022362000000001</v>
      </c>
      <c r="G21" s="1">
        <v>0.88432860000000002</v>
      </c>
      <c r="H21" s="1">
        <v>0.80637460000000005</v>
      </c>
      <c r="I21" s="1">
        <v>0.86016669999999995</v>
      </c>
      <c r="J21" s="1">
        <v>0.86195319999999997</v>
      </c>
      <c r="K21" s="1">
        <v>0.86103430000000003</v>
      </c>
      <c r="L21" s="1">
        <v>0.91286869999999998</v>
      </c>
      <c r="M21" s="1">
        <v>1.3584147</v>
      </c>
    </row>
    <row r="22" spans="1:13" x14ac:dyDescent="0.25">
      <c r="A22" s="1">
        <v>2021</v>
      </c>
      <c r="B22" s="1">
        <v>0.49129859999999997</v>
      </c>
      <c r="C22" s="1">
        <v>0.95132039999999995</v>
      </c>
      <c r="D22" s="1">
        <v>0.85920370000000001</v>
      </c>
      <c r="E22" s="1">
        <v>0.96893339999999994</v>
      </c>
      <c r="F22" s="1">
        <v>0.99824360000000001</v>
      </c>
      <c r="G22" s="1">
        <v>0.9537487</v>
      </c>
      <c r="H22" s="1">
        <v>1.094959</v>
      </c>
      <c r="I22" s="1">
        <v>1.066263</v>
      </c>
      <c r="J22" s="1">
        <v>0.9224736</v>
      </c>
      <c r="K22" s="1">
        <v>1.1955007</v>
      </c>
      <c r="L22" s="1">
        <v>0.91842990000000002</v>
      </c>
      <c r="M22" s="1">
        <v>1.6798564</v>
      </c>
    </row>
    <row r="23" spans="1:13" x14ac:dyDescent="0.25">
      <c r="A23" s="1">
        <v>2022</v>
      </c>
      <c r="B23" s="1">
        <v>0.174234</v>
      </c>
      <c r="C23" s="1">
        <v>0.76704830000000002</v>
      </c>
      <c r="D23" s="1">
        <v>1.2798445000000001</v>
      </c>
      <c r="E23" s="1">
        <v>1.2588718000000001</v>
      </c>
      <c r="F23" s="1">
        <v>1.4204827</v>
      </c>
      <c r="G23" s="1">
        <v>1.7083609</v>
      </c>
      <c r="H23" s="1">
        <v>1.6177002</v>
      </c>
      <c r="I23" s="1">
        <v>0.75922970000000001</v>
      </c>
      <c r="J23" s="1">
        <v>1.0018289</v>
      </c>
      <c r="K23" s="1">
        <v>1.3677272</v>
      </c>
      <c r="L23" s="1">
        <v>0.94914140000000002</v>
      </c>
      <c r="M23" s="1">
        <v>1.4303022999999999</v>
      </c>
    </row>
    <row r="24" spans="1:13" x14ac:dyDescent="0.25">
      <c r="A24" s="1">
        <v>2023</v>
      </c>
      <c r="B24" s="1">
        <v>0.49554409999999999</v>
      </c>
      <c r="C24" s="1">
        <v>0.89956210000000003</v>
      </c>
      <c r="D24" s="1">
        <v>0.79408509999999999</v>
      </c>
      <c r="E24" s="1">
        <v>1.0480602999999999</v>
      </c>
      <c r="F24" s="1">
        <v>0.85503439999999997</v>
      </c>
      <c r="G24" s="1">
        <v>0.9295911</v>
      </c>
      <c r="H24" s="1">
        <v>1.1298668000000001</v>
      </c>
      <c r="I24" s="1">
        <v>0.96127689999999999</v>
      </c>
      <c r="J24" s="1">
        <v>1.0369086000000001</v>
      </c>
      <c r="K24" s="1">
        <v>1.0151774</v>
      </c>
      <c r="L24" s="1">
        <v>0.77437750000000005</v>
      </c>
      <c r="M24" s="1">
        <v>1.4667574000000001</v>
      </c>
    </row>
    <row r="25" spans="1:13" x14ac:dyDescent="0.25">
      <c r="A25" s="1">
        <v>2024</v>
      </c>
      <c r="B25" s="1">
        <v>0.75480849999999999</v>
      </c>
      <c r="C25" s="1">
        <v>1.0376571999999999</v>
      </c>
      <c r="D25" s="1">
        <v>1.1706348</v>
      </c>
      <c r="E25" s="1">
        <v>0.9327841</v>
      </c>
      <c r="F25" s="1">
        <v>0.92523040000000001</v>
      </c>
      <c r="G25" s="1">
        <v>0.97982179999999997</v>
      </c>
      <c r="H25" s="1">
        <v>1.0994558999999999</v>
      </c>
      <c r="I25" s="1">
        <v>0.81102169999999996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Holt-Winters</vt:lpstr>
      <vt:lpstr>Mensuales</vt:lpstr>
      <vt:lpstr>Holt-Winters.1</vt:lpstr>
      <vt:lpstr>File-Web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MICHELL KAREN ANGELICA MATIAS TELLO</cp:lastModifiedBy>
  <dcterms:created xsi:type="dcterms:W3CDTF">2024-10-25T23:47:35Z</dcterms:created>
  <dcterms:modified xsi:type="dcterms:W3CDTF">2026-08-13T15:17:52Z</dcterms:modified>
  <cp:category/>
</cp:coreProperties>
</file>